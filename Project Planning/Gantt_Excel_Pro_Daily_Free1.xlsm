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autoCompressPictures="0"/>
  <mc:AlternateContent xmlns:mc="http://schemas.openxmlformats.org/markup-compatibility/2006">
    <mc:Choice Requires="x15">
      <x15ac:absPath xmlns:x15ac="http://schemas.microsoft.com/office/spreadsheetml/2010/11/ac" url="https://d.docs.live.net/a9a904a2f6150d9e/Desktop/documents-20220418T161448Z-001/doccument_PTDAPM/Project Planning/"/>
    </mc:Choice>
  </mc:AlternateContent>
  <xr:revisionPtr revIDLastSave="2" documentId="11_3DDF31752B62F18BA8E2E78704F585C470348105" xr6:coauthVersionLast="47" xr6:coauthVersionMax="47" xr10:uidLastSave="{6EE2F346-85AB-4A81-8F03-D32B241288A6}"/>
  <bookViews>
    <workbookView xWindow="-108" yWindow="-108" windowWidth="23256" windowHeight="12456" tabRatio="913" firstSheet="4" activeTab="4" xr2:uid="{00000000-000D-0000-FFFF-FFFF00000000}"/>
  </bookViews>
  <sheets>
    <sheet name="Dashboard Data" sheetId="75" state="veryHidden" r:id="rId1"/>
    <sheet name="GanttSettingsTemplate" sheetId="50" state="veryHidden" r:id="rId2"/>
    <sheet name="GanttDashboardTemplate" sheetId="3" state="veryHidden" r:id="rId3"/>
    <sheet name="PivotSheet" sheetId="89" state="veryHidden" r:id="rId4"/>
    <sheet name="Project Plan" sheetId="92" r:id="rId5"/>
    <sheet name="Help" sheetId="7" r:id="rId6"/>
    <sheet name="GS1" sheetId="91" state="veryHidden" r:id="rId7"/>
    <sheet name="RS1" sheetId="90" state="veryHidden" r:id="rId8"/>
  </sheets>
  <functionGroups builtInGroupCount="19"/>
  <definedNames>
    <definedName name="NativeTimeline_EED">#N/A</definedName>
    <definedName name="_xlnm.Print_Area" localSheetId="2">GanttDashboardTemplate!$B$1:$G$44</definedName>
    <definedName name="_xlnm.Print_Titles" localSheetId="2">GanttDashboardTemplate!$2:$2</definedName>
    <definedName name="Slicer_Priority">#N/A</definedName>
    <definedName name="Slicer_Resource">#N/A</definedName>
    <definedName name="Slicer_Status">#N/A</definedName>
    <definedName name="VGD">#REF!</definedName>
  </definedNames>
  <calcPr calcId="181029"/>
  <pivotCaches>
    <pivotCache cacheId="1"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G2" i="75" l="1"/>
  <c r="BG3" i="75"/>
  <c r="BG4" i="75"/>
  <c r="BG5" i="75"/>
  <c r="E5" i="3" l="1"/>
  <c r="AT2" i="3"/>
  <c r="AS2" i="3"/>
  <c r="AZ2" i="3" l="1"/>
  <c r="BA2" i="3" s="1"/>
  <c r="D18" i="3" s="1"/>
  <c r="AX2" i="3"/>
  <c r="AY2" i="3" s="1"/>
  <c r="AV2" i="3" l="1"/>
  <c r="E4" i="3" s="1"/>
  <c r="E13" i="3"/>
  <c r="E12" i="3"/>
  <c r="E11" i="3"/>
  <c r="E10" i="3"/>
  <c r="E9" i="3"/>
  <c r="E7" i="3"/>
  <c r="E6" i="3"/>
</calcChain>
</file>

<file path=xl/sharedStrings.xml><?xml version="1.0" encoding="utf-8"?>
<sst xmlns="http://schemas.openxmlformats.org/spreadsheetml/2006/main" count="726" uniqueCount="312">
  <si>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</si>
  <si>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</si>
  <si>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</si>
  <si>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</si>
  <si>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</si>
  <si>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</si>
  <si>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</si>
  <si>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</si>
  <si>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</si>
  <si>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</si>
  <si>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</si>
  <si>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</si>
  <si>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</si>
  <si>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</si>
  <si>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</si>
  <si>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</si>
  <si>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</si>
  <si>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</si>
  <si>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</si>
  <si>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</si>
  <si>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</si>
  <si>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</si>
  <si>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</si>
  <si>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</si>
  <si>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</si>
  <si>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</si>
  <si>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</si>
  <si>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</si>
  <si>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</si>
  <si>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</si>
  <si>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</si>
  <si>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</si>
  <si>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</si>
  <si>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</si>
  <si>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</si>
  <si>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</si>
  <si>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</si>
  <si>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</si>
  <si>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</si>
  <si>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</si>
  <si>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</si>
  <si>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</si>
  <si>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</si>
  <si>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</si>
  <si>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</si>
  <si>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</si>
  <si>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</si>
  <si>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</si>
  <si>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</si>
  <si>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</si>
  <si>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</si>
  <si>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</si>
  <si>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</si>
  <si>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</si>
  <si>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</si>
  <si>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</si>
  <si>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</si>
  <si>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</si>
  <si>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</si>
  <si>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</si>
  <si>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</si>
  <si>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</si>
  <si>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</si>
  <si>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</si>
  <si>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</si>
  <si>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</si>
  <si>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</si>
  <si>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</si>
  <si>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</si>
  <si>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</si>
  <si>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</si>
  <si>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</si>
  <si>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</si>
  <si>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</si>
  <si>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</si>
  <si>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</si>
  <si>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</si>
  <si>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</si>
  <si>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</si>
  <si>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</si>
  <si>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</si>
  <si>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</si>
  <si>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</si>
  <si>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</si>
  <si>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</si>
  <si>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</si>
  <si>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</si>
  <si>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</si>
  <si>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</si>
  <si>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</si>
  <si>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</si>
  <si>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</si>
  <si>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</si>
  <si>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</si>
  <si>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</si>
  <si>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</si>
  <si>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</si>
  <si>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</si>
  <si>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</si>
  <si>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</si>
  <si>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</si>
  <si>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</si>
  <si>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</si>
  <si>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</si>
  <si>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</si>
  <si>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</si>
  <si>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</si>
  <si>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</si>
  <si>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</si>
  <si>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</si>
  <si>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</si>
  <si>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</si>
  <si>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</si>
  <si>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</si>
  <si>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</si>
  <si>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</si>
  <si>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</si>
  <si>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</si>
  <si>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</si>
  <si>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</si>
  <si>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</si>
  <si>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ShowHolidays</t>
  </si>
  <si>
    <t>ShowWeekends</t>
  </si>
  <si>
    <t>ShowHolidaysPR</t>
  </si>
  <si>
    <t>ShowWeekendsPR</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</si>
  <si>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</si>
  <si>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</si>
  <si>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</si>
  <si>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</si>
  <si>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</si>
  <si>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</si>
  <si>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</si>
  <si>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</si>
  <si>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</si>
  <si>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</si>
  <si>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</si>
  <si>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</si>
  <si>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</si>
  <si>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</si>
  <si>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</si>
  <si>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</si>
  <si>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</si>
  <si>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</si>
  <si>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</si>
  <si>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</si>
  <si>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</si>
  <si>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</si>
  <si>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</si>
  <si>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</si>
  <si>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</si>
  <si>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</si>
  <si>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</si>
  <si>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</si>
  <si>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</si>
  <si>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</si>
  <si>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</si>
  <si>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t xml:space="preserve">For Windows Excel versions 2007 - 2019 + All versions of Microsoft 365 and MAC Excel Version 2016 - 2019  + All versions of Microsoft 365 </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</si>
  <si>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</si>
  <si>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</si>
  <si>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</si>
  <si>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</si>
  <si>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</si>
  <si>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TColor</t>
  </si>
  <si>
    <t>TPColor</t>
  </si>
  <si>
    <t>BLColor</t>
  </si>
  <si>
    <t>ACColor</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</si>
  <si>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</si>
  <si>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</si>
  <si>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</si>
  <si>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</si>
  <si>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</si>
  <si>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</si>
  <si>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</si>
  <si>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</si>
  <si>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</si>
  <si>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</si>
  <si>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</si>
  <si>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</si>
  <si>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</si>
  <si>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</si>
  <si>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</si>
  <si>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</si>
  <si>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</si>
  <si>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</si>
  <si>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</si>
  <si>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</si>
  <si>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</si>
  <si>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</si>
  <si>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</si>
  <si>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</si>
  <si>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</si>
  <si>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</si>
  <si>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</si>
  <si>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</si>
  <si>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</si>
  <si>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</si>
  <si>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</si>
  <si>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</si>
  <si>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</si>
  <si>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</si>
  <si>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</si>
  <si>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</si>
  <si>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</si>
  <si>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</si>
  <si>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</si>
  <si>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</si>
  <si>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</si>
  <si>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</si>
  <si>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</si>
  <si>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</si>
  <si>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</si>
  <si>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</si>
  <si>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</si>
  <si>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</si>
  <si>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</si>
  <si>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</si>
  <si>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</si>
  <si>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</si>
  <si>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</si>
  <si>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</si>
  <si>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</si>
  <si>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</si>
  <si>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</si>
  <si>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</si>
  <si>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</si>
  <si>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</si>
  <si>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</si>
  <si>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</si>
  <si>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</si>
  <si>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</si>
  <si>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</si>
  <si>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</si>
  <si>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</si>
  <si>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</si>
  <si>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</si>
  <si>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(blank)</t>
  </si>
  <si>
    <t>LOW</t>
  </si>
  <si>
    <t>HIGH</t>
  </si>
  <si>
    <t>Est Budget</t>
  </si>
  <si>
    <t>Act Costs</t>
  </si>
  <si>
    <t>20-Aug</t>
  </si>
  <si>
    <t>(All)</t>
  </si>
  <si>
    <t>5-Aug</t>
  </si>
  <si>
    <t>Type here or double click to edit in form</t>
  </si>
  <si>
    <t>InProgress</t>
  </si>
  <si>
    <t>T42VP</t>
  </si>
  <si>
    <t>TR8#{5QM</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</si>
  <si>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</si>
  <si>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</si>
  <si>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</si>
  <si>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</si>
  <si>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</si>
  <si>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</si>
  <si>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</si>
  <si>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</si>
  <si>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</si>
  <si>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</si>
  <si>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</si>
  <si>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</si>
  <si>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</si>
  <si>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</si>
  <si>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</si>
  <si>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</si>
  <si>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</si>
  <si>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Baseline Start</t>
  </si>
  <si>
    <t>Baseline End</t>
  </si>
  <si>
    <t>Baseline Duration</t>
  </si>
  <si>
    <t>Start</t>
  </si>
  <si>
    <t>Finish</t>
  </si>
  <si>
    <t>Duration</t>
  </si>
  <si>
    <t>% Complete</t>
  </si>
  <si>
    <t>Actual Start</t>
  </si>
  <si>
    <t>Actual End</t>
  </si>
  <si>
    <t>Actual Duration</t>
  </si>
  <si>
    <t>Est. Cost</t>
  </si>
  <si>
    <t>Bar Color</t>
  </si>
  <si>
    <t>% Color</t>
  </si>
  <si>
    <t>Baseline Color</t>
  </si>
  <si>
    <t>Actual Color</t>
  </si>
  <si>
    <t>TimelineStart</t>
  </si>
  <si>
    <t>TimelineEnd</t>
  </si>
  <si>
    <t>RS1</t>
  </si>
  <si>
    <t>M</t>
  </si>
  <si>
    <t>W</t>
  </si>
  <si>
    <t>F</t>
  </si>
  <si>
    <t>Type here to add a new task</t>
  </si>
  <si>
    <t>Project Lead: Click to edit</t>
  </si>
  <si>
    <r>
      <t>Project Budget</t>
    </r>
    <r>
      <rPr>
        <sz val="10"/>
        <color rgb="FF808080"/>
        <rFont val="Calibri"/>
        <family val="2"/>
        <scheme val="minor"/>
      </rPr>
      <t xml:space="preserve">: Estimated: $0.00 | Baseline: $0.00 | </t>
    </r>
    <r>
      <rPr>
        <b/>
        <sz val="10"/>
        <color rgb="FF808080"/>
        <rFont val="Calibri"/>
        <family val="2"/>
        <scheme val="minor"/>
      </rPr>
      <t>Task Costs</t>
    </r>
    <r>
      <rPr>
        <sz val="10"/>
        <color rgb="FF808080"/>
        <rFont val="Calibri"/>
        <family val="2"/>
        <scheme val="minor"/>
      </rPr>
      <t>: Estimated: $0.00 | Baseline: $0.00 | Actual: $0.00</t>
    </r>
  </si>
  <si>
    <t>thong</t>
  </si>
  <si>
    <t>97869268239790314190314197869090196294864013771059744140</t>
  </si>
  <si>
    <t>Quick Start Guide</t>
  </si>
  <si>
    <t>W14</t>
  </si>
  <si>
    <t>W15</t>
  </si>
  <si>
    <t>W16</t>
  </si>
  <si>
    <t>W17</t>
  </si>
  <si>
    <t>W18</t>
  </si>
  <si>
    <t>1</t>
  </si>
  <si>
    <t>2</t>
  </si>
  <si>
    <t>Phát triển các điều lệ dự án</t>
  </si>
  <si>
    <t>Bắt đầu</t>
  </si>
  <si>
    <t>3</t>
  </si>
  <si>
    <t>Phát triển các trường hợp kinh doanh</t>
  </si>
  <si>
    <t>4</t>
  </si>
  <si>
    <t>Đánh giá &amp; Khuyến nghị</t>
  </si>
  <si>
    <t>5</t>
  </si>
  <si>
    <t>Gửi Điều lệ Dự án</t>
  </si>
  <si>
    <t>6</t>
  </si>
  <si>
    <t>Gửi trường hợp kinh doanh</t>
  </si>
  <si>
    <t>7</t>
  </si>
  <si>
    <t>Nhà tài trợ dự án Đánh giá Điều lệ dự án và trường hợp kinh doanh</t>
  </si>
  <si>
    <t>8</t>
  </si>
  <si>
    <t>Điều lệ dự án Đã ký / Phê duyệt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</si>
</sst>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 #,##0"/>
    <numFmt numFmtId="165" formatCode="ddd\ dd\-mmm\-yy"/>
    <numFmt numFmtId="166" formatCode="[$$-409]#,##0.00"/>
  </numFmts>
  <fonts count="43"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11"/>
      <color rgb="FF000000"/>
      <name val="Calibri"/>
      <family val="2"/>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scheme val="minor"/>
    </font>
    <font>
      <sz val="10"/>
      <color rgb="FF000000"/>
      <name val="Calibri"/>
      <family val="2"/>
      <scheme val="minor"/>
    </font>
    <font>
      <b/>
      <sz val="9"/>
      <color rgb="FF000000"/>
      <name val="Calibri"/>
      <family val="2"/>
      <scheme val="minor"/>
    </font>
    <font>
      <sz val="10"/>
      <color rgb="FF808080"/>
      <name val="Calibri"/>
      <family val="2"/>
      <scheme val="minor"/>
    </font>
    <font>
      <sz val="11"/>
      <color rgb="FF4472C4"/>
      <name val="Calibri"/>
      <family val="2"/>
      <scheme val="minor"/>
    </font>
    <font>
      <sz val="8"/>
      <color rgb="FF000000"/>
      <name val="Calibri"/>
      <family val="2"/>
      <scheme val="minor"/>
    </font>
    <font>
      <sz val="8"/>
      <color rgb="FF000000"/>
      <name val="Arial"/>
      <family val="2"/>
    </font>
    <font>
      <b/>
      <sz val="10"/>
      <color rgb="FFFFFFFF"/>
      <name val="Calibri"/>
      <family val="2"/>
      <scheme val="minor"/>
    </font>
    <font>
      <i/>
      <sz val="10"/>
      <color rgb="FF000000"/>
      <name val="Calibri"/>
      <family val="2"/>
      <scheme val="minor"/>
    </font>
    <font>
      <b/>
      <sz val="16"/>
      <color rgb="FFFFFFFF"/>
      <name val="Calibri"/>
      <family val="2"/>
      <scheme val="minor"/>
    </font>
    <font>
      <b/>
      <sz val="10"/>
      <color rgb="FF808080"/>
      <name val="Calibri"/>
      <family val="2"/>
      <scheme val="minor"/>
    </font>
    <font>
      <sz val="10"/>
      <color rgb="FF6DD9FF"/>
      <name val="Wingdings 3"/>
      <family val="1"/>
      <charset val="2"/>
    </font>
  </fonts>
  <fills count="51">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s>
  <borders count="20">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top style="thin">
        <color rgb="FFCCFFFF"/>
      </top>
      <bottom style="thin">
        <color rgb="FFCCFFFF"/>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top style="thin">
        <color rgb="FFCCFFFF"/>
      </top>
      <bottom/>
      <diagonal/>
    </border>
    <border>
      <left/>
      <right/>
      <top/>
      <bottom style="thin">
        <color rgb="FFCCFFFF"/>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style="thin">
        <color rgb="FFCCFFFF"/>
      </right>
      <top style="thin">
        <color rgb="FFCCFFFF"/>
      </top>
      <bottom/>
      <diagonal/>
    </border>
    <border>
      <left style="thin">
        <color rgb="FFCCFFFF"/>
      </left>
      <right style="thin">
        <color rgb="FFCCFFFF"/>
      </right>
      <top style="thin">
        <color rgb="FFCCFFFF"/>
      </top>
      <bottom/>
      <diagonal/>
    </border>
    <border>
      <left/>
      <right/>
      <top style="thin">
        <color rgb="FFFF0000"/>
      </top>
      <bottom style="thin">
        <color rgb="FFFF0000"/>
      </bottom>
      <diagonal/>
    </border>
    <border>
      <left/>
      <right style="thin">
        <color rgb="FFCCFFFF"/>
      </right>
      <top/>
      <bottom/>
      <diagonal/>
    </border>
    <border>
      <left style="thin">
        <color rgb="FFCCFFFF"/>
      </left>
      <right style="thin">
        <color rgb="FFCCFFFF"/>
      </right>
      <top/>
      <bottom/>
      <diagonal/>
    </border>
    <border>
      <left/>
      <right style="thin">
        <color rgb="FFCCFFFF"/>
      </right>
      <top style="thin">
        <color rgb="FFFF0000"/>
      </top>
      <bottom style="thin">
        <color rgb="FFFF0000"/>
      </bottom>
      <diagonal/>
    </border>
    <border>
      <left style="thin">
        <color rgb="FFCCFFFF"/>
      </left>
      <right style="thin">
        <color rgb="FFCCFFFF"/>
      </right>
      <top style="thin">
        <color rgb="FFFF0000"/>
      </top>
      <bottom style="thin">
        <color rgb="FFFF0000"/>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6" fillId="0" borderId="0" applyFont="0" applyFill="0" applyBorder="0" applyAlignment="0" applyProtection="0"/>
    <xf numFmtId="0" fontId="30" fillId="0" borderId="0"/>
    <xf numFmtId="0" fontId="2" fillId="0" borderId="0" applyNumberFormat="0" applyFill="0" applyBorder="0" applyAlignment="0" applyProtection="0"/>
  </cellStyleXfs>
  <cellXfs count="277">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0" borderId="0" xfId="0" applyBorder="1"/>
    <xf numFmtId="0" fontId="0" fillId="0" borderId="0" xfId="0" applyBorder="1"/>
    <xf numFmtId="0" fontId="17" fillId="0" borderId="0" xfId="0" applyFont="1" applyBorder="1"/>
    <xf numFmtId="0" fontId="0" fillId="0" borderId="0" xfId="0" applyFill="1" applyBorder="1"/>
    <xf numFmtId="0" fontId="0" fillId="0" borderId="0" xfId="0" applyBorder="1" applyProtection="1">
      <protection locked="0"/>
    </xf>
    <xf numFmtId="4" fontId="0" fillId="0" borderId="0" xfId="0" applyNumberFormat="1" applyBorder="1" applyProtection="1">
      <protection locked="0"/>
    </xf>
    <xf numFmtId="14" fontId="0" fillId="0" borderId="0" xfId="0" applyNumberFormat="1" applyBorder="1" applyProtection="1">
      <protection locked="0"/>
    </xf>
    <xf numFmtId="0" fontId="0" fillId="30" borderId="0" xfId="0" applyFill="1" applyBorder="1"/>
    <xf numFmtId="0" fontId="0" fillId="29" borderId="0" xfId="0" applyFill="1" applyBorder="1"/>
    <xf numFmtId="0" fontId="0" fillId="9" borderId="0" xfId="0" applyFill="1" applyBorder="1"/>
    <xf numFmtId="0" fontId="0" fillId="2" borderId="0" xfId="0" applyFill="1" applyBorder="1"/>
    <xf numFmtId="0" fontId="0" fillId="11" borderId="0" xfId="0" applyFill="1" applyBorder="1"/>
    <xf numFmtId="0" fontId="0" fillId="32" borderId="0" xfId="0" applyFill="1" applyBorder="1"/>
    <xf numFmtId="0" fontId="0" fillId="15" borderId="0" xfId="0" applyFill="1" applyBorder="1"/>
    <xf numFmtId="0" fontId="0" fillId="6" borderId="0" xfId="0" applyFill="1" applyBorder="1"/>
    <xf numFmtId="0" fontId="0" fillId="28" borderId="0" xfId="0" applyFill="1" applyBorder="1"/>
    <xf numFmtId="0" fontId="0" fillId="31" borderId="0" xfId="0" applyFill="1" applyBorder="1"/>
    <xf numFmtId="0" fontId="0" fillId="33" borderId="0" xfId="0" applyFill="1" applyBorder="1"/>
    <xf numFmtId="1" fontId="0" fillId="0" borderId="0" xfId="0" applyNumberFormat="1" applyBorder="1"/>
    <xf numFmtId="0" fontId="0" fillId="16" borderId="0" xfId="0" applyFill="1" applyBorder="1"/>
    <xf numFmtId="0" fontId="0" fillId="10" borderId="0" xfId="0" applyFill="1" applyBorder="1"/>
    <xf numFmtId="0" fontId="0" fillId="12" borderId="0" xfId="0" applyFill="1" applyBorder="1"/>
    <xf numFmtId="0" fontId="0" fillId="5" borderId="0" xfId="0" applyFill="1" applyBorder="1"/>
    <xf numFmtId="0" fontId="0" fillId="27" borderId="0" xfId="0" applyFill="1" applyBorder="1"/>
    <xf numFmtId="0" fontId="0" fillId="4" borderId="0" xfId="0" applyFill="1" applyBorder="1"/>
    <xf numFmtId="0" fontId="0" fillId="25" borderId="0" xfId="0" applyFill="1" applyBorder="1"/>
    <xf numFmtId="0" fontId="0" fillId="7" borderId="0" xfId="0" applyFill="1" applyBorder="1"/>
    <xf numFmtId="0" fontId="0" fillId="17" borderId="0" xfId="0" applyFill="1" applyBorder="1"/>
    <xf numFmtId="0" fontId="0" fillId="18" borderId="0" xfId="0" applyFill="1" applyBorder="1"/>
    <xf numFmtId="0" fontId="0" fillId="14" borderId="0" xfId="0" applyFill="1" applyBorder="1"/>
    <xf numFmtId="0" fontId="0" fillId="23" borderId="0" xfId="0" applyFill="1" applyBorder="1"/>
    <xf numFmtId="0" fontId="0" fillId="22" borderId="0" xfId="0" applyFill="1" applyBorder="1"/>
    <xf numFmtId="0" fontId="0" fillId="13" borderId="0" xfId="0" applyFill="1" applyBorder="1"/>
    <xf numFmtId="0" fontId="0" fillId="26" borderId="0" xfId="0" applyFill="1" applyBorder="1"/>
    <xf numFmtId="0" fontId="0" fillId="20" borderId="0" xfId="0" applyFill="1" applyBorder="1"/>
    <xf numFmtId="0" fontId="0" fillId="19" borderId="0" xfId="0" applyFill="1" applyBorder="1"/>
    <xf numFmtId="0" fontId="0" fillId="24" borderId="0" xfId="0" applyFill="1" applyBorder="1"/>
    <xf numFmtId="0" fontId="0" fillId="8" borderId="0" xfId="0" applyFill="1" applyBorder="1"/>
    <xf numFmtId="0" fontId="0" fillId="21" borderId="0" xfId="0" applyFill="1" applyBorder="1"/>
    <xf numFmtId="0" fontId="0" fillId="0" borderId="0" xfId="0" applyFill="1" applyBorder="1" applyProtection="1">
      <protection locked="0"/>
    </xf>
    <xf numFmtId="49" fontId="0" fillId="0" borderId="0" xfId="0" applyNumberFormat="1" applyFill="1" applyBorder="1"/>
    <xf numFmtId="14" fontId="0" fillId="0" borderId="0" xfId="0" applyNumberFormat="1" applyFill="1" applyBorder="1" applyProtection="1">
      <protection locked="0"/>
    </xf>
    <xf numFmtId="0" fontId="0" fillId="0" borderId="0" xfId="0" applyNumberFormat="1" applyFill="1" applyBorder="1"/>
    <xf numFmtId="0" fontId="0" fillId="0" borderId="0" xfId="0"/>
    <xf numFmtId="0" fontId="0" fillId="34" borderId="0" xfId="0" applyFill="1" applyBorder="1"/>
    <xf numFmtId="0" fontId="0" fillId="35" borderId="0" xfId="0" applyFill="1" applyBorder="1"/>
    <xf numFmtId="0" fontId="0" fillId="3" borderId="0" xfId="0" applyFill="1" applyBorder="1"/>
    <xf numFmtId="0" fontId="0" fillId="0" borderId="0" xfId="0"/>
    <xf numFmtId="0" fontId="0" fillId="0" borderId="0" xfId="0"/>
    <xf numFmtId="0" fontId="0" fillId="36" borderId="0" xfId="0" applyFill="1" applyBorder="1"/>
    <xf numFmtId="0" fontId="0" fillId="37" borderId="0" xfId="0" applyFill="1" applyBorder="1"/>
    <xf numFmtId="0" fontId="0" fillId="0" borderId="0" xfId="0"/>
    <xf numFmtId="0" fontId="0" fillId="38" borderId="0" xfId="0" applyFill="1" applyBorder="1"/>
    <xf numFmtId="0" fontId="0" fillId="0" borderId="0" xfId="0"/>
    <xf numFmtId="0" fontId="0" fillId="0" borderId="0" xfId="0"/>
    <xf numFmtId="0" fontId="6" fillId="4" borderId="0" xfId="0" applyFont="1" applyFill="1" applyBorder="1"/>
    <xf numFmtId="0" fontId="5" fillId="4" borderId="0" xfId="0" applyFont="1" applyFill="1" applyBorder="1"/>
    <xf numFmtId="49" fontId="0" fillId="0" borderId="0" xfId="0" applyNumberFormat="1" applyBorder="1"/>
    <xf numFmtId="0" fontId="4" fillId="4" borderId="0" xfId="0" applyFont="1" applyFill="1" applyBorder="1" applyAlignment="1">
      <alignment horizontal="left" vertical="center" indent="5"/>
    </xf>
    <xf numFmtId="0" fontId="3" fillId="4" borderId="0" xfId="0" applyFont="1" applyFill="1" applyBorder="1" applyProtection="1">
      <protection locked="0"/>
    </xf>
    <xf numFmtId="0" fontId="15" fillId="4" borderId="0" xfId="0" applyFont="1" applyFill="1" applyBorder="1" applyAlignment="1">
      <alignment horizontal="left" vertical="center"/>
    </xf>
    <xf numFmtId="0" fontId="4" fillId="2" borderId="0" xfId="0" applyFont="1" applyFill="1" applyBorder="1" applyAlignment="1">
      <alignment horizontal="left" vertical="center" indent="5"/>
    </xf>
    <xf numFmtId="0" fontId="3" fillId="2" borderId="0" xfId="0" applyFont="1" applyFill="1" applyBorder="1" applyProtection="1">
      <protection locked="0"/>
    </xf>
    <xf numFmtId="0" fontId="18" fillId="0" borderId="0" xfId="0" applyFont="1" applyBorder="1"/>
    <xf numFmtId="0" fontId="16" fillId="4" borderId="0" xfId="0" applyFont="1" applyFill="1" applyBorder="1"/>
    <xf numFmtId="0" fontId="0" fillId="4" borderId="0" xfId="0" applyFill="1" applyBorder="1" applyAlignment="1">
      <alignment horizontal="center"/>
    </xf>
    <xf numFmtId="0" fontId="14" fillId="0" borderId="0" xfId="0" applyFont="1" applyBorder="1"/>
    <xf numFmtId="0" fontId="0" fillId="0" borderId="0" xfId="0" applyBorder="1"/>
    <xf numFmtId="0" fontId="0" fillId="39" borderId="0" xfId="0" applyFill="1" applyBorder="1"/>
    <xf numFmtId="0" fontId="0" fillId="40" borderId="0" xfId="0" applyFill="1" applyBorder="1"/>
    <xf numFmtId="0" fontId="0" fillId="41" borderId="0" xfId="0" applyFill="1" applyBorder="1"/>
    <xf numFmtId="0" fontId="0" fillId="42" borderId="0" xfId="0" applyFill="1" applyBorder="1"/>
    <xf numFmtId="0" fontId="0" fillId="43" borderId="0" xfId="0" applyFill="1" applyBorder="1"/>
    <xf numFmtId="0" fontId="0" fillId="44" borderId="0" xfId="0" applyFill="1" applyBorder="1"/>
    <xf numFmtId="0" fontId="0" fillId="45" borderId="0" xfId="0" applyFill="1" applyBorder="1"/>
    <xf numFmtId="0" fontId="0" fillId="46" borderId="0" xfId="0" applyFill="1" applyBorder="1"/>
    <xf numFmtId="0" fontId="0" fillId="47" borderId="0" xfId="0" applyFill="1" applyBorder="1"/>
    <xf numFmtId="0" fontId="0" fillId="48" borderId="0" xfId="0" applyFill="1" applyBorder="1"/>
    <xf numFmtId="0" fontId="0" fillId="0" borderId="0" xfId="0"/>
    <xf numFmtId="0" fontId="0" fillId="0" borderId="0" xfId="0"/>
    <xf numFmtId="14" fontId="0" fillId="0" borderId="0" xfId="0" applyNumberFormat="1"/>
    <xf numFmtId="0" fontId="21" fillId="0" borderId="0" xfId="0" applyFont="1" applyFill="1" applyAlignment="1"/>
    <xf numFmtId="0" fontId="0" fillId="0" borderId="0" xfId="0"/>
    <xf numFmtId="0" fontId="0" fillId="48" borderId="0" xfId="0" applyFill="1"/>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0" borderId="0" xfId="0"/>
    <xf numFmtId="0" fontId="0" fillId="0" borderId="0" xfId="0" applyFill="1"/>
    <xf numFmtId="3" fontId="9" fillId="0" borderId="0" xfId="0" applyNumberFormat="1" applyFont="1" applyBorder="1"/>
    <xf numFmtId="0" fontId="7" fillId="0" borderId="0" xfId="0" applyFont="1" applyBorder="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5" fillId="0" borderId="0" xfId="0" applyFont="1" applyAlignment="1"/>
    <xf numFmtId="9" fontId="0" fillId="0" borderId="0" xfId="200" applyFont="1" applyProtection="1">
      <protection locked="0"/>
    </xf>
    <xf numFmtId="0" fontId="7" fillId="0" borderId="4" xfId="0" applyFont="1" applyBorder="1"/>
    <xf numFmtId="15" fontId="7" fillId="0" borderId="4" xfId="0" applyNumberFormat="1" applyFont="1" applyBorder="1"/>
    <xf numFmtId="0" fontId="27"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0" fillId="0" borderId="0" xfId="0"/>
    <xf numFmtId="0" fontId="28" fillId="50" borderId="0" xfId="0" applyFont="1" applyFill="1"/>
    <xf numFmtId="0" fontId="25" fillId="0" borderId="0" xfId="0" applyFont="1" applyBorder="1" applyAlignment="1"/>
    <xf numFmtId="14" fontId="0" fillId="0" borderId="0" xfId="0" applyNumberFormat="1" applyAlignment="1">
      <alignment horizontal="left"/>
    </xf>
    <xf numFmtId="0" fontId="0" fillId="0" borderId="0" xfId="0"/>
    <xf numFmtId="0" fontId="0" fillId="0" borderId="0" xfId="0"/>
    <xf numFmtId="164" fontId="0" fillId="0" borderId="0" xfId="0" applyNumberFormat="1"/>
    <xf numFmtId="0" fontId="0" fillId="0" borderId="0" xfId="0"/>
    <xf numFmtId="0" fontId="0" fillId="0" borderId="0" xfId="0"/>
    <xf numFmtId="0" fontId="18" fillId="0" borderId="0" xfId="0" applyFont="1"/>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2" fillId="0" borderId="0" xfId="0" applyNumberFormat="1" applyFont="1" applyAlignment="1">
      <alignment horizontal="center" vertical="center"/>
    </xf>
    <xf numFmtId="0" fontId="32" fillId="48" borderId="0" xfId="0" applyFont="1" applyFill="1" applyAlignment="1">
      <alignment horizontal="center" vertical="center"/>
    </xf>
    <xf numFmtId="0" fontId="32" fillId="48" borderId="0" xfId="0" applyFont="1" applyFill="1" applyAlignment="1">
      <alignment horizontal="left" vertical="center"/>
    </xf>
    <xf numFmtId="0" fontId="33" fillId="48" borderId="0" xfId="0" applyFont="1" applyFill="1" applyAlignment="1">
      <alignment horizontal="center" vertical="center"/>
    </xf>
    <xf numFmtId="0" fontId="32" fillId="48" borderId="0" xfId="0" applyFont="1" applyFill="1" applyAlignment="1">
      <alignment horizontal="right" vertical="center"/>
    </xf>
    <xf numFmtId="9" fontId="32" fillId="48" borderId="0" xfId="0" applyNumberFormat="1" applyFont="1" applyFill="1" applyAlignment="1">
      <alignment horizontal="center" vertical="center"/>
    </xf>
    <xf numFmtId="0" fontId="32" fillId="48" borderId="0" xfId="0" applyNumberFormat="1" applyFont="1" applyFill="1" applyAlignment="1">
      <alignment horizontal="center" vertical="center"/>
    </xf>
    <xf numFmtId="0" fontId="35" fillId="48" borderId="0" xfId="0" applyFont="1" applyFill="1"/>
    <xf numFmtId="0" fontId="37" fillId="6" borderId="0" xfId="0" applyFont="1" applyFill="1" applyAlignment="1">
      <alignment horizontal="left" vertical="center"/>
    </xf>
    <xf numFmtId="0" fontId="37" fillId="28" borderId="0" xfId="0" applyFont="1" applyFill="1" applyAlignment="1">
      <alignment horizontal="left" vertical="center"/>
    </xf>
    <xf numFmtId="0" fontId="0" fillId="0" borderId="5" xfId="0" applyBorder="1"/>
    <xf numFmtId="0" fontId="31" fillId="0" borderId="0" xfId="0" applyFont="1"/>
    <xf numFmtId="0" fontId="38" fillId="45" borderId="6" xfId="0" applyFont="1" applyFill="1" applyBorder="1" applyAlignment="1">
      <alignment horizontal="center" vertical="center"/>
    </xf>
    <xf numFmtId="0" fontId="0" fillId="0" borderId="9" xfId="0" applyBorder="1"/>
    <xf numFmtId="0" fontId="32" fillId="0" borderId="9" xfId="0" applyFont="1" applyBorder="1" applyAlignment="1">
      <alignment horizontal="left" vertical="center"/>
    </xf>
    <xf numFmtId="0" fontId="38" fillId="45" borderId="9" xfId="0" applyFont="1" applyFill="1" applyBorder="1" applyAlignment="1">
      <alignment horizontal="center" vertical="center"/>
    </xf>
    <xf numFmtId="0" fontId="36" fillId="0" borderId="9" xfId="0" applyFont="1" applyBorder="1" applyAlignment="1">
      <alignment horizontal="center" vertical="center"/>
    </xf>
    <xf numFmtId="166" fontId="32" fillId="0" borderId="9" xfId="0" applyNumberFormat="1" applyFont="1" applyBorder="1" applyAlignment="1">
      <alignment horizontal="right" vertical="center"/>
    </xf>
    <xf numFmtId="165" fontId="32" fillId="0" borderId="9" xfId="0" applyNumberFormat="1" applyFont="1" applyBorder="1" applyAlignment="1">
      <alignment horizontal="right" vertical="center"/>
    </xf>
    <xf numFmtId="0" fontId="32" fillId="0" borderId="9" xfId="0" applyFont="1" applyBorder="1" applyAlignment="1">
      <alignment horizontal="right" vertical="center"/>
    </xf>
    <xf numFmtId="0" fontId="32" fillId="0" borderId="9" xfId="0" applyFont="1" applyBorder="1" applyAlignment="1">
      <alignment horizontal="center" vertical="center"/>
    </xf>
    <xf numFmtId="9" fontId="32" fillId="0" borderId="9" xfId="0" applyNumberFormat="1" applyFont="1" applyBorder="1" applyAlignment="1">
      <alignment horizontal="center" vertical="center"/>
    </xf>
    <xf numFmtId="0" fontId="32" fillId="0" borderId="9" xfId="0" applyNumberFormat="1" applyFont="1" applyBorder="1" applyAlignment="1">
      <alignment horizontal="left" vertical="center"/>
    </xf>
    <xf numFmtId="0" fontId="32" fillId="0" borderId="9" xfId="0" applyFont="1" applyFill="1" applyBorder="1" applyAlignment="1">
      <alignment horizontal="left" vertical="center"/>
    </xf>
    <xf numFmtId="0" fontId="36" fillId="0" borderId="9" xfId="0" applyFont="1" applyFill="1" applyBorder="1" applyAlignment="1">
      <alignment horizontal="center" vertical="center"/>
    </xf>
    <xf numFmtId="166" fontId="32" fillId="0" borderId="9" xfId="0" applyNumberFormat="1" applyFont="1" applyFill="1" applyBorder="1" applyAlignment="1">
      <alignment horizontal="right" vertical="center"/>
    </xf>
    <xf numFmtId="165" fontId="32" fillId="0" borderId="9" xfId="0" applyNumberFormat="1" applyFont="1" applyFill="1" applyBorder="1" applyAlignment="1">
      <alignment horizontal="right" vertical="center"/>
    </xf>
    <xf numFmtId="0" fontId="32" fillId="0" borderId="9" xfId="0" applyFont="1" applyFill="1" applyBorder="1" applyAlignment="1">
      <alignment horizontal="right" vertical="center"/>
    </xf>
    <xf numFmtId="0" fontId="32" fillId="0" borderId="9" xfId="0" applyFont="1" applyFill="1" applyBorder="1" applyAlignment="1">
      <alignment horizontal="center" vertical="center"/>
    </xf>
    <xf numFmtId="9" fontId="32" fillId="0" borderId="9" xfId="0" applyNumberFormat="1" applyFont="1" applyFill="1" applyBorder="1" applyAlignment="1">
      <alignment horizontal="center" vertical="center"/>
    </xf>
    <xf numFmtId="0" fontId="32" fillId="0" borderId="9" xfId="0" applyNumberFormat="1" applyFont="1" applyFill="1" applyBorder="1" applyAlignment="1">
      <alignment horizontal="left" vertical="center"/>
    </xf>
    <xf numFmtId="0" fontId="32" fillId="0" borderId="6" xfId="0" applyFont="1" applyFill="1" applyBorder="1" applyAlignment="1">
      <alignment horizontal="left" vertical="center"/>
    </xf>
    <xf numFmtId="0" fontId="36" fillId="0" borderId="6" xfId="0" applyFont="1" applyFill="1" applyBorder="1" applyAlignment="1">
      <alignment horizontal="center" vertical="center"/>
    </xf>
    <xf numFmtId="166" fontId="32" fillId="0" borderId="6" xfId="0" applyNumberFormat="1" applyFont="1" applyFill="1" applyBorder="1" applyAlignment="1">
      <alignment horizontal="right" vertical="center"/>
    </xf>
    <xf numFmtId="165" fontId="32" fillId="0" borderId="6" xfId="0" applyNumberFormat="1" applyFont="1" applyFill="1" applyBorder="1" applyAlignment="1">
      <alignment horizontal="right" vertical="center"/>
    </xf>
    <xf numFmtId="0" fontId="32" fillId="0" borderId="6" xfId="0" applyFont="1" applyFill="1" applyBorder="1" applyAlignment="1">
      <alignment horizontal="right" vertical="center"/>
    </xf>
    <xf numFmtId="0" fontId="32" fillId="0" borderId="6" xfId="0" applyFont="1" applyFill="1" applyBorder="1" applyAlignment="1">
      <alignment horizontal="center" vertical="center"/>
    </xf>
    <xf numFmtId="9" fontId="32" fillId="0" borderId="6" xfId="0" applyNumberFormat="1" applyFont="1" applyFill="1" applyBorder="1" applyAlignment="1">
      <alignment horizontal="center" vertical="center"/>
    </xf>
    <xf numFmtId="0" fontId="32" fillId="0" borderId="6" xfId="0" applyNumberFormat="1" applyFont="1" applyFill="1" applyBorder="1" applyAlignment="1">
      <alignment horizontal="left" vertical="center"/>
    </xf>
    <xf numFmtId="0" fontId="32" fillId="0" borderId="13" xfId="0" applyFont="1" applyBorder="1" applyAlignment="1">
      <alignment horizontal="left" vertical="center"/>
    </xf>
    <xf numFmtId="0" fontId="0" fillId="0" borderId="14" xfId="0" applyFill="1" applyBorder="1"/>
    <xf numFmtId="0" fontId="32" fillId="0" borderId="15" xfId="0" applyFont="1" applyFill="1" applyBorder="1" applyAlignment="1">
      <alignment horizontal="left" vertical="center"/>
    </xf>
    <xf numFmtId="0" fontId="36" fillId="0" borderId="15" xfId="0" applyFont="1" applyFill="1" applyBorder="1" applyAlignment="1">
      <alignment horizontal="center" vertical="center"/>
    </xf>
    <xf numFmtId="166" fontId="32" fillId="0" borderId="15" xfId="0" applyNumberFormat="1" applyFont="1" applyFill="1" applyBorder="1" applyAlignment="1">
      <alignment horizontal="right" vertical="center"/>
    </xf>
    <xf numFmtId="165" fontId="32" fillId="0" borderId="15" xfId="0" applyNumberFormat="1" applyFont="1" applyFill="1" applyBorder="1" applyAlignment="1">
      <alignment horizontal="right" vertical="center"/>
    </xf>
    <xf numFmtId="0" fontId="32" fillId="0" borderId="15" xfId="0" applyFont="1" applyFill="1" applyBorder="1" applyAlignment="1">
      <alignment horizontal="right" vertical="center"/>
    </xf>
    <xf numFmtId="0" fontId="32" fillId="0" borderId="15" xfId="0" applyFont="1" applyFill="1" applyBorder="1" applyAlignment="1">
      <alignment horizontal="center" vertical="center"/>
    </xf>
    <xf numFmtId="9" fontId="32" fillId="0" borderId="15" xfId="0" applyNumberFormat="1" applyFont="1" applyFill="1" applyBorder="1" applyAlignment="1">
      <alignment horizontal="center" vertical="center"/>
    </xf>
    <xf numFmtId="0" fontId="32" fillId="0" borderId="15" xfId="0" applyNumberFormat="1" applyFont="1" applyFill="1" applyBorder="1" applyAlignment="1">
      <alignment horizontal="left" vertical="center"/>
    </xf>
    <xf numFmtId="49" fontId="32" fillId="0" borderId="0" xfId="0" applyNumberFormat="1" applyFont="1" applyAlignment="1">
      <alignment horizontal="left" vertical="center"/>
    </xf>
    <xf numFmtId="49" fontId="40" fillId="48" borderId="0" xfId="0" applyNumberFormat="1" applyFont="1" applyFill="1" applyAlignment="1">
      <alignment horizontal="left" vertical="center"/>
    </xf>
    <xf numFmtId="49" fontId="34" fillId="0" borderId="0" xfId="0" applyNumberFormat="1" applyFont="1" applyAlignment="1">
      <alignment horizontal="left" vertical="center"/>
    </xf>
    <xf numFmtId="49" fontId="32" fillId="0" borderId="9" xfId="0" applyNumberFormat="1" applyFont="1" applyBorder="1" applyAlignment="1">
      <alignment horizontal="left" vertical="center"/>
    </xf>
    <xf numFmtId="49" fontId="32" fillId="0" borderId="15" xfId="0" applyNumberFormat="1" applyFont="1" applyFill="1" applyBorder="1" applyAlignment="1">
      <alignment horizontal="left" vertical="center"/>
    </xf>
    <xf numFmtId="0" fontId="32" fillId="0" borderId="0" xfId="0" applyFont="1" applyBorder="1" applyAlignment="1">
      <alignment horizontal="center" vertical="center"/>
    </xf>
    <xf numFmtId="49" fontId="41" fillId="0" borderId="0" xfId="0" applyNumberFormat="1" applyFont="1" applyBorder="1" applyAlignment="1">
      <alignment horizontal="left" vertical="center"/>
    </xf>
    <xf numFmtId="0" fontId="32" fillId="0" borderId="0" xfId="0" applyFont="1" applyBorder="1" applyAlignment="1">
      <alignment horizontal="left" vertical="center"/>
    </xf>
    <xf numFmtId="0" fontId="33" fillId="0" borderId="0" xfId="0" applyFont="1" applyBorder="1" applyAlignment="1">
      <alignment horizontal="center" vertical="center"/>
    </xf>
    <xf numFmtId="0" fontId="32" fillId="0" borderId="0" xfId="0" applyFont="1" applyBorder="1" applyAlignment="1">
      <alignment horizontal="right" vertical="center"/>
    </xf>
    <xf numFmtId="9" fontId="32" fillId="0" borderId="0" xfId="0" applyNumberFormat="1" applyFont="1" applyBorder="1" applyAlignment="1">
      <alignment horizontal="center" vertical="center"/>
    </xf>
    <xf numFmtId="0" fontId="32" fillId="0" borderId="0" xfId="0" applyNumberFormat="1" applyFont="1" applyBorder="1" applyAlignment="1">
      <alignment horizontal="center" vertical="center"/>
    </xf>
    <xf numFmtId="0" fontId="32" fillId="0" borderId="16" xfId="0" applyFont="1" applyBorder="1" applyAlignment="1">
      <alignment horizontal="center" vertical="center"/>
    </xf>
    <xf numFmtId="0" fontId="37" fillId="31" borderId="17" xfId="0" applyFont="1" applyFill="1" applyBorder="1" applyAlignment="1">
      <alignment horizontal="center" vertical="center"/>
    </xf>
    <xf numFmtId="49" fontId="32" fillId="0" borderId="0" xfId="0" applyNumberFormat="1" applyFont="1" applyBorder="1" applyAlignment="1">
      <alignment horizontal="left" vertical="center"/>
    </xf>
    <xf numFmtId="165" fontId="32" fillId="0" borderId="0" xfId="0" applyNumberFormat="1" applyFont="1" applyBorder="1" applyAlignment="1">
      <alignment horizontal="right" vertical="center"/>
    </xf>
    <xf numFmtId="0" fontId="32" fillId="28" borderId="9" xfId="0" applyFont="1" applyFill="1" applyBorder="1" applyAlignment="1">
      <alignment horizontal="center" vertical="center"/>
    </xf>
    <xf numFmtId="49" fontId="32" fillId="28" borderId="9" xfId="0" applyNumberFormat="1" applyFont="1" applyFill="1" applyBorder="1" applyAlignment="1">
      <alignment horizontal="center" vertical="center"/>
    </xf>
    <xf numFmtId="9" fontId="32" fillId="28" borderId="9" xfId="0" applyNumberFormat="1" applyFont="1" applyFill="1" applyBorder="1" applyAlignment="1">
      <alignment horizontal="center" vertical="center"/>
    </xf>
    <xf numFmtId="0" fontId="32" fillId="28" borderId="9" xfId="0" applyNumberFormat="1" applyFont="1" applyFill="1" applyBorder="1" applyAlignment="1">
      <alignment horizontal="center" vertical="center"/>
    </xf>
    <xf numFmtId="0" fontId="32" fillId="28" borderId="13" xfId="0" applyFont="1" applyFill="1" applyBorder="1" applyAlignment="1">
      <alignment horizontal="center" vertical="center"/>
    </xf>
    <xf numFmtId="0" fontId="37" fillId="28" borderId="14" xfId="0" applyFont="1" applyFill="1" applyBorder="1" applyAlignment="1">
      <alignment horizontal="center" vertical="center"/>
    </xf>
    <xf numFmtId="0" fontId="37" fillId="43" borderId="14" xfId="0" applyFont="1" applyFill="1" applyBorder="1" applyAlignment="1">
      <alignment horizontal="center" vertical="center"/>
    </xf>
    <xf numFmtId="0" fontId="39" fillId="0" borderId="9" xfId="0" applyFont="1" applyBorder="1" applyAlignment="1">
      <alignment horizontal="left" vertical="center"/>
    </xf>
    <xf numFmtId="0" fontId="33" fillId="0" borderId="9" xfId="0" applyFont="1" applyBorder="1" applyAlignment="1">
      <alignment horizontal="center" vertical="center"/>
    </xf>
    <xf numFmtId="0" fontId="32" fillId="0" borderId="9" xfId="0" applyNumberFormat="1" applyFont="1" applyBorder="1" applyAlignment="1">
      <alignment horizontal="center" vertical="center"/>
    </xf>
    <xf numFmtId="0" fontId="32" fillId="7" borderId="15" xfId="0" applyFont="1" applyFill="1" applyBorder="1" applyAlignment="1">
      <alignment horizontal="left" vertical="center"/>
    </xf>
    <xf numFmtId="0" fontId="42" fillId="0" borderId="15" xfId="0" applyFont="1" applyBorder="1" applyAlignment="1">
      <alignment horizontal="center" vertical="center"/>
    </xf>
    <xf numFmtId="0" fontId="32" fillId="7" borderId="6" xfId="0" applyFont="1" applyFill="1" applyBorder="1" applyAlignment="1">
      <alignment horizontal="left" vertical="center"/>
    </xf>
    <xf numFmtId="0" fontId="42" fillId="0" borderId="6" xfId="0" applyFont="1" applyBorder="1" applyAlignment="1">
      <alignment horizontal="center" vertical="center"/>
    </xf>
    <xf numFmtId="0" fontId="32" fillId="7" borderId="9" xfId="0" applyFont="1" applyFill="1" applyBorder="1" applyAlignment="1">
      <alignment horizontal="left" vertical="center"/>
    </xf>
    <xf numFmtId="0" fontId="42" fillId="0" borderId="9" xfId="0" applyFont="1" applyBorder="1" applyAlignment="1">
      <alignment horizontal="center" vertical="center"/>
    </xf>
    <xf numFmtId="0" fontId="32" fillId="7" borderId="0" xfId="0" applyFont="1" applyFill="1" applyBorder="1" applyAlignment="1">
      <alignment horizontal="left" vertical="center"/>
    </xf>
    <xf numFmtId="0" fontId="42" fillId="0" borderId="0" xfId="0" applyFont="1" applyBorder="1" applyAlignment="1">
      <alignment horizontal="center" vertical="center"/>
    </xf>
    <xf numFmtId="0" fontId="32" fillId="0" borderId="0" xfId="0" applyFont="1" applyFill="1" applyBorder="1" applyAlignment="1">
      <alignment horizontal="left" vertical="center"/>
    </xf>
    <xf numFmtId="49" fontId="32" fillId="0" borderId="0" xfId="0" applyNumberFormat="1" applyFont="1" applyFill="1" applyBorder="1" applyAlignment="1">
      <alignment horizontal="left" vertical="center"/>
    </xf>
    <xf numFmtId="0" fontId="36" fillId="0" borderId="0" xfId="0" applyFont="1" applyFill="1" applyBorder="1" applyAlignment="1">
      <alignment horizontal="center" vertical="center"/>
    </xf>
    <xf numFmtId="166" fontId="32" fillId="0" borderId="0" xfId="0" applyNumberFormat="1" applyFont="1" applyFill="1" applyBorder="1" applyAlignment="1">
      <alignment horizontal="right" vertical="center"/>
    </xf>
    <xf numFmtId="165" fontId="32" fillId="0" borderId="0" xfId="0" applyNumberFormat="1" applyFont="1" applyFill="1" applyBorder="1" applyAlignment="1">
      <alignment horizontal="right" vertical="center"/>
    </xf>
    <xf numFmtId="0" fontId="32" fillId="0" borderId="0" xfId="0" applyFont="1" applyFill="1" applyBorder="1" applyAlignment="1">
      <alignment horizontal="right" vertical="center"/>
    </xf>
    <xf numFmtId="0" fontId="32" fillId="0" borderId="0" xfId="0" applyFont="1" applyFill="1" applyBorder="1" applyAlignment="1">
      <alignment horizontal="center" vertical="center"/>
    </xf>
    <xf numFmtId="9" fontId="32" fillId="0" borderId="0" xfId="0" applyNumberFormat="1" applyFont="1" applyFill="1" applyBorder="1" applyAlignment="1">
      <alignment horizontal="center" vertical="center"/>
    </xf>
    <xf numFmtId="0" fontId="32" fillId="0" borderId="0" xfId="0" applyNumberFormat="1" applyFont="1" applyFill="1" applyBorder="1" applyAlignment="1">
      <alignment horizontal="left" vertical="center"/>
    </xf>
    <xf numFmtId="0" fontId="31" fillId="0" borderId="0" xfId="0" applyFont="1" applyBorder="1"/>
    <xf numFmtId="49" fontId="32" fillId="0" borderId="6" xfId="0" applyNumberFormat="1" applyFont="1" applyFill="1" applyBorder="1" applyAlignment="1">
      <alignment horizontal="left" vertical="center"/>
    </xf>
    <xf numFmtId="0" fontId="32" fillId="0" borderId="7" xfId="0" applyFont="1" applyFill="1" applyBorder="1" applyAlignment="1">
      <alignment horizontal="left" vertical="center"/>
    </xf>
    <xf numFmtId="0" fontId="31" fillId="0" borderId="8" xfId="0" applyFont="1" applyFill="1" applyBorder="1"/>
    <xf numFmtId="0" fontId="31" fillId="0" borderId="5" xfId="0" applyFont="1" applyBorder="1"/>
    <xf numFmtId="0" fontId="38" fillId="11" borderId="6" xfId="0" applyFont="1" applyFill="1" applyBorder="1" applyAlignment="1">
      <alignment horizontal="center" vertical="center"/>
    </xf>
    <xf numFmtId="0" fontId="38" fillId="11" borderId="15" xfId="0" applyFont="1" applyFill="1" applyBorder="1" applyAlignment="1">
      <alignment horizontal="center" vertical="center"/>
    </xf>
    <xf numFmtId="0" fontId="32" fillId="0" borderId="18" xfId="0" applyFont="1" applyFill="1" applyBorder="1" applyAlignment="1">
      <alignment horizontal="left" vertical="center"/>
    </xf>
    <xf numFmtId="0" fontId="31" fillId="0" borderId="19" xfId="0" applyFont="1" applyFill="1" applyBorder="1"/>
    <xf numFmtId="49" fontId="32" fillId="0" borderId="9" xfId="0" applyNumberFormat="1" applyFont="1" applyFill="1" applyBorder="1" applyAlignment="1">
      <alignment horizontal="left" vertical="center"/>
    </xf>
    <xf numFmtId="0" fontId="38" fillId="11" borderId="9" xfId="0" applyFont="1" applyFill="1" applyBorder="1" applyAlignment="1">
      <alignment horizontal="center" vertical="center"/>
    </xf>
    <xf numFmtId="0" fontId="32" fillId="0" borderId="13" xfId="0" applyFont="1" applyFill="1" applyBorder="1" applyAlignment="1">
      <alignment horizontal="left" vertical="center"/>
    </xf>
    <xf numFmtId="0" fontId="31" fillId="0" borderId="14" xfId="0" applyFont="1" applyFill="1" applyBorder="1"/>
    <xf numFmtId="0" fontId="38" fillId="11" borderId="0" xfId="0" applyFont="1" applyFill="1" applyBorder="1" applyAlignment="1">
      <alignment horizontal="center" vertical="center"/>
    </xf>
    <xf numFmtId="0" fontId="32" fillId="7" borderId="10" xfId="0" applyFont="1" applyFill="1" applyBorder="1" applyAlignment="1">
      <alignment horizontal="left" vertical="center"/>
    </xf>
    <xf numFmtId="0" fontId="42" fillId="0" borderId="10" xfId="0" applyFont="1" applyBorder="1" applyAlignment="1">
      <alignment horizontal="center" vertical="center"/>
    </xf>
    <xf numFmtId="49" fontId="32" fillId="0" borderId="10" xfId="0" applyNumberFormat="1" applyFont="1" applyFill="1" applyBorder="1" applyAlignment="1">
      <alignment horizontal="left" vertical="center"/>
    </xf>
    <xf numFmtId="0" fontId="32" fillId="0" borderId="10" xfId="0" applyFont="1" applyFill="1" applyBorder="1" applyAlignment="1">
      <alignment horizontal="left" vertical="center"/>
    </xf>
    <xf numFmtId="0" fontId="36" fillId="0" borderId="10" xfId="0" applyFont="1" applyFill="1" applyBorder="1" applyAlignment="1">
      <alignment horizontal="center" vertical="center"/>
    </xf>
    <xf numFmtId="166" fontId="32" fillId="0" borderId="10" xfId="0" applyNumberFormat="1" applyFont="1" applyFill="1" applyBorder="1" applyAlignment="1">
      <alignment horizontal="right" vertical="center"/>
    </xf>
    <xf numFmtId="165" fontId="32" fillId="0" borderId="10" xfId="0" applyNumberFormat="1" applyFont="1" applyFill="1" applyBorder="1" applyAlignment="1">
      <alignment horizontal="right" vertical="center"/>
    </xf>
    <xf numFmtId="0" fontId="32" fillId="0" borderId="10" xfId="0" applyFont="1" applyFill="1" applyBorder="1" applyAlignment="1">
      <alignment horizontal="right" vertical="center"/>
    </xf>
    <xf numFmtId="0" fontId="32" fillId="0" borderId="10" xfId="0" applyFont="1" applyFill="1" applyBorder="1" applyAlignment="1">
      <alignment horizontal="center" vertical="center"/>
    </xf>
    <xf numFmtId="9" fontId="32" fillId="0" borderId="10" xfId="0" applyNumberFormat="1" applyFont="1" applyFill="1" applyBorder="1" applyAlignment="1">
      <alignment horizontal="center" vertical="center"/>
    </xf>
    <xf numFmtId="0" fontId="32" fillId="0" borderId="10" xfId="0" applyNumberFormat="1" applyFont="1" applyFill="1" applyBorder="1" applyAlignment="1">
      <alignment horizontal="left" vertical="center"/>
    </xf>
    <xf numFmtId="0" fontId="32" fillId="0" borderId="11" xfId="0" applyFont="1" applyFill="1" applyBorder="1" applyAlignment="1">
      <alignment horizontal="left" vertical="center"/>
    </xf>
    <xf numFmtId="0" fontId="31" fillId="0" borderId="12" xfId="0" applyFont="1" applyFill="1" applyBorder="1"/>
    <xf numFmtId="0" fontId="38" fillId="45" borderId="10" xfId="0" applyFont="1" applyFill="1" applyBorder="1" applyAlignment="1">
      <alignment horizontal="center" vertical="center"/>
    </xf>
    <xf numFmtId="0" fontId="32" fillId="0" borderId="15" xfId="0" applyNumberFormat="1" applyFont="1" applyFill="1" applyBorder="1" applyAlignment="1">
      <alignment horizontal="right" vertical="center"/>
    </xf>
    <xf numFmtId="0" fontId="32" fillId="0" borderId="6" xfId="0" applyNumberFormat="1" applyFont="1" applyFill="1" applyBorder="1" applyAlignment="1">
      <alignment horizontal="right" vertical="center"/>
    </xf>
    <xf numFmtId="0" fontId="32" fillId="0" borderId="9" xfId="0" applyNumberFormat="1" applyFont="1" applyFill="1" applyBorder="1" applyAlignment="1">
      <alignment horizontal="right" vertical="center"/>
    </xf>
    <xf numFmtId="0" fontId="32" fillId="0" borderId="10" xfId="0" applyNumberFormat="1" applyFont="1" applyFill="1" applyBorder="1" applyAlignment="1">
      <alignment horizontal="right" vertical="center"/>
    </xf>
    <xf numFmtId="0" fontId="32" fillId="0" borderId="0" xfId="0" applyNumberFormat="1" applyFont="1" applyFill="1" applyBorder="1" applyAlignment="1">
      <alignment horizontal="right" vertical="center"/>
    </xf>
    <xf numFmtId="0" fontId="32" fillId="0" borderId="16" xfId="0" applyFont="1" applyFill="1" applyBorder="1" applyAlignment="1">
      <alignment horizontal="left" vertical="center"/>
    </xf>
    <xf numFmtId="0" fontId="31" fillId="0" borderId="17" xfId="0" applyFont="1" applyFill="1" applyBorder="1"/>
    <xf numFmtId="0" fontId="12" fillId="0" borderId="0" xfId="0" applyFont="1" applyAlignment="1">
      <alignment horizontal="center" vertical="center"/>
    </xf>
    <xf numFmtId="0" fontId="10" fillId="0" borderId="0" xfId="0" applyFont="1" applyAlignment="1">
      <alignment horizontal="center"/>
    </xf>
    <xf numFmtId="0" fontId="10" fillId="0" borderId="0" xfId="0" applyFont="1" applyBorder="1" applyAlignment="1">
      <alignment horizontal="center"/>
    </xf>
    <xf numFmtId="9" fontId="29" fillId="0" borderId="0" xfId="0" applyNumberFormat="1" applyFont="1" applyAlignment="1">
      <alignment horizontal="center" vertical="top"/>
    </xf>
    <xf numFmtId="0" fontId="1" fillId="49" borderId="1" xfId="1" applyFill="1" applyAlignment="1">
      <alignment horizontal="left" vertical="center"/>
    </xf>
    <xf numFmtId="0" fontId="28" fillId="0" borderId="0" xfId="0" applyFont="1" applyFill="1" applyBorder="1" applyAlignment="1">
      <alignment horizontal="left" vertical="center"/>
    </xf>
    <xf numFmtId="0" fontId="28" fillId="50" borderId="2" xfId="0" applyFont="1" applyFill="1" applyBorder="1" applyAlignment="1">
      <alignment horizontal="left" vertical="center"/>
    </xf>
    <xf numFmtId="0" fontId="2" fillId="0" borderId="0" xfId="202"/>
    <xf numFmtId="0" fontId="0" fillId="0" borderId="0" xfId="0"/>
    <xf numFmtId="0" fontId="20" fillId="0" borderId="0" xfId="0" applyFont="1" applyFill="1" applyAlignment="1">
      <alignment horizontal="center" vertical="center"/>
    </xf>
    <xf numFmtId="0" fontId="21" fillId="0" borderId="0" xfId="0" applyFont="1" applyFill="1" applyAlignment="1">
      <alignment horizontal="center"/>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00000000-0005-0000-0000-0000C9000000}"/>
    <cellStyle name="Percent" xfId="200" builtinId="5"/>
  </cellStyles>
  <dxfs count="5">
    <dxf>
      <font>
        <color rgb="FF9C0006"/>
      </font>
    </dxf>
    <dxf>
      <numFmt numFmtId="19" formatCode="m/d/yyyy"/>
    </dxf>
    <dxf>
      <numFmt numFmtId="19"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00000000-0011-0000-FFFF-FFFF00000000}">
      <tableStyleElement type="wholeTable" dxfId="4"/>
      <tableStyleElement type="headerRow" dxfId="3"/>
    </tableStyle>
  </tableStyles>
  <colors>
    <mruColors>
      <color rgb="FF6DD9FF"/>
      <color rgb="FFF0FFDD"/>
      <color rgb="FFDCF9A9"/>
      <color rgb="FF4472C4"/>
      <color rgb="FFA7E8FF"/>
      <color rgb="FFFF5050"/>
      <color rgb="FFA6F020"/>
      <color rgb="FFC1EFFF"/>
      <color rgb="FFFF6699"/>
      <color rgb="FFB3F8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rgbClr val="DCF9A9"/>
          </a:solidFill>
          <a:ln w="19050">
            <a:solidFill>
              <a:schemeClr val="lt1"/>
            </a:solidFill>
          </a:ln>
          <a:effectLst/>
        </c:spPr>
      </c:pivotFmt>
      <c:pivotFmt>
        <c:idx val="12"/>
        <c:spPr>
          <a:solidFill>
            <a:srgbClr val="A7E8FF"/>
          </a:solidFill>
          <a:ln w="19050">
            <a:solidFill>
              <a:schemeClr val="lt1"/>
            </a:solidFill>
          </a:ln>
          <a:effectLst/>
        </c:spPr>
      </c:pivotFmt>
      <c:pivotFmt>
        <c:idx val="13"/>
        <c:spPr>
          <a:solidFill>
            <a:srgbClr val="FF5050"/>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PivotSheet!$B$4</c:f>
              <c:strCache>
                <c:ptCount val="1"/>
                <c:pt idx="0">
                  <c:v>Total</c:v>
                </c:pt>
              </c:strCache>
            </c:strRef>
          </c:tx>
          <c:dPt>
            <c:idx val="0"/>
            <c:bubble3D val="0"/>
            <c:spPr>
              <a:solidFill>
                <a:srgbClr val="DCF9A9"/>
              </a:solidFill>
              <a:ln w="19050">
                <a:solidFill>
                  <a:schemeClr val="lt1"/>
                </a:solidFill>
              </a:ln>
              <a:effectLst/>
            </c:spPr>
            <c:extLst>
              <c:ext xmlns:c16="http://schemas.microsoft.com/office/drawing/2014/chart" uri="{C3380CC4-5D6E-409C-BE32-E72D297353CC}">
                <c16:uniqueId val="{00000001-E426-4258-8CA7-71D8556BB275}"/>
              </c:ext>
            </c:extLst>
          </c:dPt>
          <c:dPt>
            <c:idx val="1"/>
            <c:bubble3D val="0"/>
            <c:spPr>
              <a:solidFill>
                <a:srgbClr val="A7E8FF"/>
              </a:solidFill>
              <a:ln w="19050">
                <a:solidFill>
                  <a:schemeClr val="lt1"/>
                </a:solidFill>
              </a:ln>
              <a:effectLst/>
            </c:spPr>
            <c:extLst>
              <c:ext xmlns:c16="http://schemas.microsoft.com/office/drawing/2014/chart" uri="{C3380CC4-5D6E-409C-BE32-E72D297353CC}">
                <c16:uniqueId val="{00000003-E426-4258-8CA7-71D8556BB275}"/>
              </c:ext>
            </c:extLst>
          </c:dPt>
          <c:dPt>
            <c:idx val="2"/>
            <c:bubble3D val="0"/>
            <c:spPr>
              <a:solidFill>
                <a:srgbClr val="FF5050"/>
              </a:solidFill>
              <a:ln w="19050">
                <a:solidFill>
                  <a:schemeClr val="lt1"/>
                </a:solidFill>
              </a:ln>
              <a:effectLst/>
            </c:spPr>
            <c:extLst>
              <c:ext xmlns:c16="http://schemas.microsoft.com/office/drawing/2014/chart" uri="{C3380CC4-5D6E-409C-BE32-E72D297353CC}">
                <c16:uniqueId val="{00000005-E426-4258-8CA7-71D8556BB2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426-4258-8CA7-71D8556BB27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PivotSheet!$A$5:$A$8</c:f>
              <c:strCache>
                <c:ptCount val="4"/>
                <c:pt idx="0">
                  <c:v>Completed</c:v>
                </c:pt>
                <c:pt idx="1">
                  <c:v>InProgress</c:v>
                </c:pt>
                <c:pt idx="2">
                  <c:v>Overdue</c:v>
                </c:pt>
                <c:pt idx="3">
                  <c:v>Planned</c:v>
                </c:pt>
              </c:strCache>
            </c:strRef>
          </c:cat>
          <c:val>
            <c:numRef>
              <c:f>PivotSheet!$B$5:$B$8</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8-4D69-45B8-BE23-1083FC1339A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rgbClr val="FF5050"/>
          </a:solidFill>
          <a:ln w="19050">
            <a:solidFill>
              <a:schemeClr val="lt1"/>
            </a:solidFill>
          </a:ln>
          <a:effectLst/>
        </c:spPr>
      </c:pivotFmt>
      <c:pivotFmt>
        <c:idx val="15"/>
        <c:spPr>
          <a:solidFill>
            <a:srgbClr val="92D050"/>
          </a:solidFill>
          <a:ln w="19050">
            <a:solidFill>
              <a:schemeClr val="lt1"/>
            </a:solidFill>
          </a:ln>
          <a:effectLst/>
        </c:spPr>
      </c:pivotFmt>
      <c:pivotFmt>
        <c:idx val="16"/>
        <c:spPr>
          <a:solidFill>
            <a:srgbClr val="FFC000"/>
          </a:solidFill>
          <a:ln w="19050">
            <a:solidFill>
              <a:schemeClr val="lt1"/>
            </a:solidFill>
          </a:ln>
          <a:effectLst/>
        </c:spPr>
      </c:pivotFmt>
      <c:pivotFmt>
        <c:idx val="17"/>
        <c:spPr>
          <a:solidFill>
            <a:schemeClr val="accent1"/>
          </a:solidFill>
          <a:ln w="19050">
            <a:solidFill>
              <a:schemeClr val="lt1"/>
            </a:solidFill>
          </a:ln>
          <a:effectLst/>
        </c:spPr>
      </c:pivotFmt>
    </c:pivotFmts>
    <c:plotArea>
      <c:layout/>
      <c:doughnutChart>
        <c:varyColors val="1"/>
        <c:ser>
          <c:idx val="0"/>
          <c:order val="0"/>
          <c:tx>
            <c:strRef>
              <c:f>PivotSheet!$L$4</c:f>
              <c:strCache>
                <c:ptCount val="1"/>
                <c:pt idx="0">
                  <c:v>Total</c:v>
                </c:pt>
              </c:strCache>
            </c:strRef>
          </c:tx>
          <c:dPt>
            <c:idx val="0"/>
            <c:bubble3D val="0"/>
            <c:spPr>
              <a:solidFill>
                <a:srgbClr val="FF5050"/>
              </a:solidFill>
              <a:ln w="19050">
                <a:solidFill>
                  <a:schemeClr val="lt1"/>
                </a:solidFill>
              </a:ln>
              <a:effectLst/>
            </c:spPr>
            <c:extLst>
              <c:ext xmlns:c16="http://schemas.microsoft.com/office/drawing/2014/chart" uri="{C3380CC4-5D6E-409C-BE32-E72D297353CC}">
                <c16:uniqueId val="{00000001-E6E0-4E83-8510-B76807A7554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6E0-4E83-8510-B76807A75548}"/>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E6E0-4E83-8510-B76807A7554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PivotSheet!$K$5:$K$7</c:f>
              <c:strCache>
                <c:ptCount val="3"/>
                <c:pt idx="0">
                  <c:v>HIGH</c:v>
                </c:pt>
                <c:pt idx="1">
                  <c:v>LOW</c:v>
                </c:pt>
                <c:pt idx="2">
                  <c:v>NORMAL</c:v>
                </c:pt>
              </c:strCache>
            </c:strRef>
          </c:cat>
          <c:val>
            <c:numRef>
              <c:f>PivotSheet!$L$5:$L$7</c:f>
              <c:numCache>
                <c:formatCode>General</c:formatCode>
                <c:ptCount val="3"/>
                <c:pt idx="0">
                  <c:v>1</c:v>
                </c:pt>
                <c:pt idx="1">
                  <c:v>1</c:v>
                </c:pt>
                <c:pt idx="2">
                  <c:v>2</c:v>
                </c:pt>
              </c:numCache>
            </c:numRef>
          </c:val>
          <c:extLst>
            <c:ext xmlns:c16="http://schemas.microsoft.com/office/drawing/2014/chart" uri="{C3380CC4-5D6E-409C-BE32-E72D297353CC}">
              <c16:uniqueId val="{00000004-599A-4CE6-B5C8-CD5626369C6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 #,##0</c:formatCode>
                <c:ptCount val="3"/>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 #,##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333375</xdr:colOff>
      <xdr:row>5</xdr:row>
      <xdr:rowOff>85726</xdr:rowOff>
    </xdr:from>
    <xdr:to>
      <xdr:col>7</xdr:col>
      <xdr:colOff>9525</xdr:colOff>
      <xdr:row>12</xdr:row>
      <xdr:rowOff>104776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90625" y="1038226"/>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1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2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2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2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2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2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144780</xdr:colOff>
          <xdr:row>1</xdr:row>
          <xdr:rowOff>22860</xdr:rowOff>
        </xdr:from>
        <xdr:to>
          <xdr:col>5</xdr:col>
          <xdr:colOff>678180</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2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art 29">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2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2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56</xdr:col>
      <xdr:colOff>0</xdr:colOff>
      <xdr:row>5</xdr:row>
      <xdr:rowOff>50800</xdr:rowOff>
    </xdr:from>
    <xdr:to>
      <xdr:col>82</xdr:col>
      <xdr:colOff>732790</xdr:colOff>
      <xdr:row>6</xdr:row>
      <xdr:rowOff>0</xdr:rowOff>
    </xdr:to>
    <xdr:sp macro="" textlink="">
      <xdr:nvSpPr>
        <xdr:cNvPr id="3" name="S_Mo_4/4/2022">
          <a:extLst>
            <a:ext uri="{FF2B5EF4-FFF2-40B4-BE49-F238E27FC236}">
              <a16:creationId xmlns:a16="http://schemas.microsoft.com/office/drawing/2014/main" id="{00000000-0008-0000-0400-000003000000}"/>
            </a:ext>
          </a:extLst>
        </xdr:cNvPr>
        <xdr:cNvSpPr/>
      </xdr:nvSpPr>
      <xdr:spPr>
        <a:xfrm>
          <a:off x="9799320" y="50800"/>
          <a:ext cx="19950430" cy="254000"/>
        </a:xfrm>
        <a:prstGeom prst="round2SameRect">
          <a:avLst/>
        </a:prstGeom>
        <a:solidFill>
          <a:srgbClr val="FFFF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4472C4"/>
              </a:solidFill>
            </a:rPr>
            <a:t>April-2022</a:t>
          </a:r>
        </a:p>
      </xdr:txBody>
    </xdr:sp>
    <xdr:clientData/>
  </xdr:twoCellAnchor>
  <xdr:twoCellAnchor>
    <xdr:from>
      <xdr:col>83</xdr:col>
      <xdr:colOff>0</xdr:colOff>
      <xdr:row>5</xdr:row>
      <xdr:rowOff>50800</xdr:rowOff>
    </xdr:from>
    <xdr:to>
      <xdr:col>113</xdr:col>
      <xdr:colOff>732792</xdr:colOff>
      <xdr:row>6</xdr:row>
      <xdr:rowOff>0</xdr:rowOff>
    </xdr:to>
    <xdr:sp macro="" textlink="">
      <xdr:nvSpPr>
        <xdr:cNvPr id="4" name="S_Mo_5/1/2022">
          <a:extLst>
            <a:ext uri="{FF2B5EF4-FFF2-40B4-BE49-F238E27FC236}">
              <a16:creationId xmlns:a16="http://schemas.microsoft.com/office/drawing/2014/main" id="{00000000-0008-0000-0400-000004000000}"/>
            </a:ext>
          </a:extLst>
        </xdr:cNvPr>
        <xdr:cNvSpPr/>
      </xdr:nvSpPr>
      <xdr:spPr>
        <a:xfrm>
          <a:off x="29756100" y="50800"/>
          <a:ext cx="22906992" cy="254000"/>
        </a:xfrm>
        <a:prstGeom prst="round2SameRect">
          <a:avLst/>
        </a:prstGeom>
        <a:solidFill>
          <a:srgbClr val="FFFF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4472C4"/>
              </a:solidFill>
            </a:rPr>
            <a:t>May-2022</a:t>
          </a:r>
        </a:p>
      </xdr:txBody>
    </xdr:sp>
    <xdr:clientData/>
  </xdr:twoCellAnchor>
  <xdr:twoCellAnchor>
    <xdr:from>
      <xdr:col>70</xdr:col>
      <xdr:colOff>12699</xdr:colOff>
      <xdr:row>9</xdr:row>
      <xdr:rowOff>38862</xdr:rowOff>
    </xdr:from>
    <xdr:to>
      <xdr:col>76</xdr:col>
      <xdr:colOff>246380</xdr:colOff>
      <xdr:row>9</xdr:row>
      <xdr:rowOff>189738</xdr:rowOff>
    </xdr:to>
    <xdr:sp macro="" textlink="">
      <xdr:nvSpPr>
        <xdr:cNvPr id="25" name="S_TE_1">
          <a:extLst>
            <a:ext uri="{FF2B5EF4-FFF2-40B4-BE49-F238E27FC236}">
              <a16:creationId xmlns:a16="http://schemas.microsoft.com/office/drawing/2014/main" id="{00000000-0008-0000-0400-000019000000}"/>
            </a:ext>
          </a:extLst>
        </xdr:cNvPr>
        <xdr:cNvSpPr/>
      </xdr:nvSpPr>
      <xdr:spPr>
        <a:xfrm>
          <a:off x="13439139" y="1014222"/>
          <a:ext cx="1788161"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71</xdr:col>
      <xdr:colOff>12700</xdr:colOff>
      <xdr:row>11</xdr:row>
      <xdr:rowOff>38862</xdr:rowOff>
    </xdr:from>
    <xdr:to>
      <xdr:col>72</xdr:col>
      <xdr:colOff>246380</xdr:colOff>
      <xdr:row>11</xdr:row>
      <xdr:rowOff>189738</xdr:rowOff>
    </xdr:to>
    <xdr:sp macro="" textlink="">
      <xdr:nvSpPr>
        <xdr:cNvPr id="36" name="S_TE_2">
          <a:extLst>
            <a:ext uri="{FF2B5EF4-FFF2-40B4-BE49-F238E27FC236}">
              <a16:creationId xmlns:a16="http://schemas.microsoft.com/office/drawing/2014/main" id="{00000000-0008-0000-0400-000024000000}"/>
            </a:ext>
          </a:extLst>
        </xdr:cNvPr>
        <xdr:cNvSpPr/>
      </xdr:nvSpPr>
      <xdr:spPr>
        <a:xfrm>
          <a:off x="13698220" y="1471422"/>
          <a:ext cx="492760"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71</xdr:col>
      <xdr:colOff>12700</xdr:colOff>
      <xdr:row>12</xdr:row>
      <xdr:rowOff>38862</xdr:rowOff>
    </xdr:from>
    <xdr:to>
      <xdr:col>72</xdr:col>
      <xdr:colOff>246380</xdr:colOff>
      <xdr:row>12</xdr:row>
      <xdr:rowOff>189738</xdr:rowOff>
    </xdr:to>
    <xdr:sp macro="" textlink="">
      <xdr:nvSpPr>
        <xdr:cNvPr id="40" name="S_TE_3">
          <a:extLst>
            <a:ext uri="{FF2B5EF4-FFF2-40B4-BE49-F238E27FC236}">
              <a16:creationId xmlns:a16="http://schemas.microsoft.com/office/drawing/2014/main" id="{00000000-0008-0000-0400-000028000000}"/>
            </a:ext>
          </a:extLst>
        </xdr:cNvPr>
        <xdr:cNvSpPr/>
      </xdr:nvSpPr>
      <xdr:spPr>
        <a:xfrm>
          <a:off x="13698220" y="1700022"/>
          <a:ext cx="492760"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12699</xdr:colOff>
      <xdr:row>10</xdr:row>
      <xdr:rowOff>38862</xdr:rowOff>
    </xdr:from>
    <xdr:to>
      <xdr:col>70</xdr:col>
      <xdr:colOff>246380</xdr:colOff>
      <xdr:row>10</xdr:row>
      <xdr:rowOff>189738</xdr:rowOff>
    </xdr:to>
    <xdr:sp macro="" textlink="">
      <xdr:nvSpPr>
        <xdr:cNvPr id="49" name="S_TE_4">
          <a:extLst>
            <a:ext uri="{FF2B5EF4-FFF2-40B4-BE49-F238E27FC236}">
              <a16:creationId xmlns:a16="http://schemas.microsoft.com/office/drawing/2014/main" id="{00000000-0008-0000-0400-000031000000}"/>
            </a:ext>
          </a:extLst>
        </xdr:cNvPr>
        <xdr:cNvSpPr/>
      </xdr:nvSpPr>
      <xdr:spPr>
        <a:xfrm>
          <a:off x="13439139" y="1242822"/>
          <a:ext cx="233681"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73</xdr:col>
      <xdr:colOff>12700</xdr:colOff>
      <xdr:row>13</xdr:row>
      <xdr:rowOff>38862</xdr:rowOff>
    </xdr:from>
    <xdr:to>
      <xdr:col>73</xdr:col>
      <xdr:colOff>246381</xdr:colOff>
      <xdr:row>13</xdr:row>
      <xdr:rowOff>189738</xdr:rowOff>
    </xdr:to>
    <xdr:sp macro="" textlink="">
      <xdr:nvSpPr>
        <xdr:cNvPr id="58" name="S_TE_5">
          <a:extLst>
            <a:ext uri="{FF2B5EF4-FFF2-40B4-BE49-F238E27FC236}">
              <a16:creationId xmlns:a16="http://schemas.microsoft.com/office/drawing/2014/main" id="{00000000-0008-0000-0400-00003A000000}"/>
            </a:ext>
          </a:extLst>
        </xdr:cNvPr>
        <xdr:cNvSpPr/>
      </xdr:nvSpPr>
      <xdr:spPr>
        <a:xfrm>
          <a:off x="14216380" y="1928622"/>
          <a:ext cx="233681"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73</xdr:col>
      <xdr:colOff>12700</xdr:colOff>
      <xdr:row>14</xdr:row>
      <xdr:rowOff>38862</xdr:rowOff>
    </xdr:from>
    <xdr:to>
      <xdr:col>73</xdr:col>
      <xdr:colOff>246381</xdr:colOff>
      <xdr:row>14</xdr:row>
      <xdr:rowOff>189738</xdr:rowOff>
    </xdr:to>
    <xdr:sp macro="" textlink="">
      <xdr:nvSpPr>
        <xdr:cNvPr id="62" name="S_TE_6">
          <a:extLst>
            <a:ext uri="{FF2B5EF4-FFF2-40B4-BE49-F238E27FC236}">
              <a16:creationId xmlns:a16="http://schemas.microsoft.com/office/drawing/2014/main" id="{00000000-0008-0000-0400-00003E000000}"/>
            </a:ext>
          </a:extLst>
        </xdr:cNvPr>
        <xdr:cNvSpPr/>
      </xdr:nvSpPr>
      <xdr:spPr>
        <a:xfrm>
          <a:off x="14216380" y="2157222"/>
          <a:ext cx="233681"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74</xdr:col>
      <xdr:colOff>12701</xdr:colOff>
      <xdr:row>15</xdr:row>
      <xdr:rowOff>38862</xdr:rowOff>
    </xdr:from>
    <xdr:to>
      <xdr:col>74</xdr:col>
      <xdr:colOff>246381</xdr:colOff>
      <xdr:row>15</xdr:row>
      <xdr:rowOff>189738</xdr:rowOff>
    </xdr:to>
    <xdr:sp macro="" textlink="">
      <xdr:nvSpPr>
        <xdr:cNvPr id="70" name="S_TE_7">
          <a:extLst>
            <a:ext uri="{FF2B5EF4-FFF2-40B4-BE49-F238E27FC236}">
              <a16:creationId xmlns:a16="http://schemas.microsoft.com/office/drawing/2014/main" id="{00000000-0008-0000-0400-000046000000}"/>
            </a:ext>
          </a:extLst>
        </xdr:cNvPr>
        <xdr:cNvSpPr/>
      </xdr:nvSpPr>
      <xdr:spPr>
        <a:xfrm>
          <a:off x="14475461" y="2385822"/>
          <a:ext cx="233680"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74</xdr:col>
      <xdr:colOff>12701</xdr:colOff>
      <xdr:row>16</xdr:row>
      <xdr:rowOff>38862</xdr:rowOff>
    </xdr:from>
    <xdr:to>
      <xdr:col>74</xdr:col>
      <xdr:colOff>246381</xdr:colOff>
      <xdr:row>16</xdr:row>
      <xdr:rowOff>189738</xdr:rowOff>
    </xdr:to>
    <xdr:sp macro="" textlink="">
      <xdr:nvSpPr>
        <xdr:cNvPr id="79" name="S_TE_8">
          <a:extLst>
            <a:ext uri="{FF2B5EF4-FFF2-40B4-BE49-F238E27FC236}">
              <a16:creationId xmlns:a16="http://schemas.microsoft.com/office/drawing/2014/main" id="{00000000-0008-0000-0400-00004F000000}"/>
            </a:ext>
          </a:extLst>
        </xdr:cNvPr>
        <xdr:cNvSpPr/>
      </xdr:nvSpPr>
      <xdr:spPr>
        <a:xfrm>
          <a:off x="14475461" y="2614422"/>
          <a:ext cx="233680"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12699</xdr:colOff>
      <xdr:row>9</xdr:row>
      <xdr:rowOff>38862</xdr:rowOff>
    </xdr:from>
    <xdr:to>
      <xdr:col>84</xdr:col>
      <xdr:colOff>195579</xdr:colOff>
      <xdr:row>9</xdr:row>
      <xdr:rowOff>189738</xdr:rowOff>
    </xdr:to>
    <xdr:sp macro="" textlink="">
      <xdr:nvSpPr>
        <xdr:cNvPr id="19" name="S_TGB_1">
          <a:extLst>
            <a:ext uri="{FF2B5EF4-FFF2-40B4-BE49-F238E27FC236}">
              <a16:creationId xmlns:a16="http://schemas.microsoft.com/office/drawing/2014/main" id="{00000000-0008-0000-0400-000013000000}"/>
            </a:ext>
          </a:extLst>
        </xdr:cNvPr>
        <xdr:cNvSpPr/>
      </xdr:nvSpPr>
      <xdr:spPr>
        <a:xfrm>
          <a:off x="13439139" y="101422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Bắt đầu</a:t>
          </a:r>
        </a:p>
      </xdr:txBody>
    </xdr:sp>
    <xdr:clientData/>
  </xdr:twoCellAnchor>
  <xdr:twoCellAnchor>
    <xdr:from>
      <xdr:col>83</xdr:col>
      <xdr:colOff>0</xdr:colOff>
      <xdr:row>9</xdr:row>
      <xdr:rowOff>0</xdr:rowOff>
    </xdr:from>
    <xdr:to>
      <xdr:col>83</xdr:col>
      <xdr:colOff>1270</xdr:colOff>
      <xdr:row>17</xdr:row>
      <xdr:rowOff>0</xdr:rowOff>
    </xdr:to>
    <xdr:sp macro="" textlink="">
      <xdr:nvSpPr>
        <xdr:cNvPr id="81" name="S_Today_LineLeft">
          <a:extLst>
            <a:ext uri="{FF2B5EF4-FFF2-40B4-BE49-F238E27FC236}">
              <a16:creationId xmlns:a16="http://schemas.microsoft.com/office/drawing/2014/main" id="{00000000-0008-0000-0400-000051000000}"/>
            </a:ext>
          </a:extLst>
        </xdr:cNvPr>
        <xdr:cNvSpPr/>
      </xdr:nvSpPr>
      <xdr:spPr>
        <a:xfrm>
          <a:off x="16794480" y="975360"/>
          <a:ext cx="1270" cy="18288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83</xdr:col>
      <xdr:colOff>246381</xdr:colOff>
      <xdr:row>9</xdr:row>
      <xdr:rowOff>0</xdr:rowOff>
    </xdr:from>
    <xdr:to>
      <xdr:col>83</xdr:col>
      <xdr:colOff>247650</xdr:colOff>
      <xdr:row>17</xdr:row>
      <xdr:rowOff>0</xdr:rowOff>
    </xdr:to>
    <xdr:sp macro="" textlink="">
      <xdr:nvSpPr>
        <xdr:cNvPr id="82" name="S_Today_LineRight">
          <a:extLst>
            <a:ext uri="{FF2B5EF4-FFF2-40B4-BE49-F238E27FC236}">
              <a16:creationId xmlns:a16="http://schemas.microsoft.com/office/drawing/2014/main" id="{00000000-0008-0000-0400-000052000000}"/>
            </a:ext>
          </a:extLst>
        </xdr:cNvPr>
        <xdr:cNvSpPr/>
      </xdr:nvSpPr>
      <xdr:spPr>
        <a:xfrm>
          <a:off x="17040861" y="975360"/>
          <a:ext cx="1269" cy="18288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9</xdr:row>
      <xdr:rowOff>50800</xdr:rowOff>
    </xdr:from>
    <xdr:to>
      <xdr:col>18</xdr:col>
      <xdr:colOff>142240</xdr:colOff>
      <xdr:row>14</xdr:row>
      <xdr:rowOff>177800</xdr:rowOff>
    </xdr:to>
    <xdr:sp macro="" textlink="">
      <xdr:nvSpPr>
        <xdr:cNvPr id="2" name="SMacros">
          <a:extLst>
            <a:ext uri="{FF2B5EF4-FFF2-40B4-BE49-F238E27FC236}">
              <a16:creationId xmlns:a16="http://schemas.microsoft.com/office/drawing/2014/main" id="{EB0C0213-93D7-4058-8413-0D24315219B1}"/>
            </a:ext>
          </a:extLst>
        </xdr:cNvPr>
        <xdr:cNvSpPr/>
      </xdr:nvSpPr>
      <xdr:spPr>
        <a:xfrm>
          <a:off x="678180" y="1026160"/>
          <a:ext cx="5080000" cy="1270000"/>
        </a:xfrm>
        <a:prstGeom prst="round2SameRect">
          <a:avLst/>
        </a:prstGeom>
        <a:solidFill>
          <a:srgbClr val="FF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FFFFFF"/>
              </a:solidFill>
            </a:rPr>
            <a:t>Automation Off - Enable Macros to Continue</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6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4d" refreshedDate="44416.821233796298" createdVersion="7" refreshedVersion="7" minRefreshableVersion="3" recordCount="4" xr:uid="{00000000-000A-0000-FFFF-FFFF00000000}">
  <cacheSource type="worksheet">
    <worksheetSource name="DashboardTable"/>
  </cacheSource>
  <cacheFields count="60">
    <cacheField name="ProjectID" numFmtId="0">
      <sharedItems containsSemiMixedTypes="0" containsString="0" containsNumber="1" containsInteger="1" minValue="1" maxValue="1"/>
    </cacheField>
    <cacheField name="dType" numFmtId="0">
      <sharedItems containsBlank="1" count="7">
        <s v="T"/>
        <m u="1"/>
        <s v="MP" u="1"/>
        <s v="C" u="1"/>
        <s v="dType" u="1"/>
        <s v="M" u="1"/>
        <s v="SP" u="1"/>
      </sharedItems>
    </cacheField>
    <cacheField name="GEType" numFmtId="0">
      <sharedItems count="2">
        <s v="T"/>
        <s v="M" u="1"/>
      </sharedItems>
    </cacheField>
    <cacheField name="TID" numFmtId="0">
      <sharedItems containsSemiMixedTypes="0" containsString="0" containsNumber="1" containsInteger="1" minValue="1" maxValue="4"/>
    </cacheField>
    <cacheField name="Dependency" numFmtId="0">
      <sharedItems containsNonDate="0" containsString="0" containsBlank="1"/>
    </cacheField>
    <cacheField name="Dependents" numFmtId="0">
      <sharedItems containsNonDate="0" containsString="0" containsBlank="1"/>
    </cacheField>
    <cacheField name="StartConstrain" numFmtId="0">
      <sharedItems containsNonDate="0" containsString="0" containsBlank="1"/>
    </cacheField>
    <cacheField name="EndConstrain" numFmtId="0">
      <sharedItems containsNonDate="0" containsString="0" containsBlank="1"/>
    </cacheField>
    <cacheField name="TIL" numFmtId="0">
      <sharedItems containsSemiMixedTypes="0" containsString="0" containsNumber="1" containsInteger="1" minValue="0" maxValue="0"/>
    </cacheField>
    <cacheField name="SS" numFmtId="0">
      <sharedItems containsNonDate="0" containsString="0" containsBlank="1"/>
    </cacheField>
    <cacheField name="TaskIcon" numFmtId="0">
      <sharedItems/>
    </cacheField>
    <cacheField name="WBS" numFmtId="0">
      <sharedItems containsSemiMixedTypes="0" containsString="0" containsNumber="1" containsInteger="1" minValue="1" maxValue="4"/>
    </cacheField>
    <cacheField name="Task" numFmtId="0">
      <sharedItems/>
    </cacheField>
    <cacheField name="Priority" numFmtId="0">
      <sharedItems containsBlank="1" count="4">
        <s v="NORMAL"/>
        <s v="HIGH"/>
        <s v="LOW"/>
        <m u="1"/>
      </sharedItems>
    </cacheField>
    <cacheField name="Status" numFmtId="0">
      <sharedItems containsBlank="1" count="5">
        <s v="Completed"/>
        <s v="InProgress"/>
        <s v="Planned"/>
        <s v="Overdue"/>
        <m u="1"/>
      </sharedItems>
    </cacheField>
    <cacheField name="Resource" numFmtId="0">
      <sharedItems containsNonDate="0" containsBlank="1" count="38">
        <m/>
        <s v="Humfleet Wendy" u="1"/>
        <s v="Unique Drywall" u="1"/>
        <s v="Newton Painting" u="1"/>
        <s v="JR" u="1"/>
        <s v="Olimpia Stucco" u="1"/>
        <s v="Service Tech" u="1"/>
        <s v="Sys Team" u="1"/>
        <s v="BP Banister" u="1"/>
        <s v="Knotty Woodworks" u="1"/>
        <s v="Lopez Wild Dianne" u="1"/>
        <s v="MHC, Cerner" u="1"/>
        <s v="Flash Electrical" u="1"/>
        <s v="Trim Rite Mfg" u="1"/>
        <s v="SS" u="1"/>
        <s v="AC Flooring" u="1"/>
        <s v="Kuschell Andre" u="1"/>
        <s v="Majestic Cab's" u="1"/>
        <s v="Shiley Kayla -Cerner" u="1"/>
        <s v="Derrick G" u="1"/>
        <s v="Marv J" u="1"/>
        <s v="Jim" u="1"/>
        <s v="Derrick G, Brody M" u="1"/>
        <s v="Walworth  Andrea" u="1"/>
        <s v="Pristine - C/tops" u="1"/>
        <s v="Pristine C/tops" u="1"/>
        <s v="King Denise" u="1"/>
        <s v="Client" u="1"/>
        <s v="Morehouse Mitch" u="1"/>
        <s v="Delta Coring" u="1"/>
        <s v="Cerner, MHC"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String="0" containsBlank="1"/>
    </cacheField>
    <cacheField name="BED" numFmtId="0">
      <sharedItems containsNonDate="0" containsString="0" containsBlank="1"/>
    </cacheField>
    <cacheField name="BD" numFmtId="0">
      <sharedItems containsNonDate="0" containsString="0" containsBlank="1"/>
    </cacheField>
    <cacheField name="ESD" numFmtId="14">
      <sharedItems containsSemiMixedTypes="0" containsNonDate="0" containsDate="1" containsString="0" minDate="2021-08-02T00:00:00" maxDate="2021-08-09T00:00:00"/>
    </cacheField>
    <cacheField name="EED" numFmtId="14">
      <sharedItems containsSemiMixedTypes="0" containsNonDate="0" containsDate="1" containsString="0" minDate="2021-08-05T00:00:00" maxDate="2021-08-21T00:00:00" count="2">
        <d v="2021-08-20T00:00:00"/>
        <d v="2021-08-05T00:00:00"/>
      </sharedItems>
      <fieldGroup par="59" base="21">
        <rangePr groupBy="days" startDate="2021-08-05T00:00:00" endDate="2021-08-21T00:00:00"/>
        <groupItems count="368">
          <s v="&lt;8/5/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1/2021"/>
        </groupItems>
      </fieldGroup>
    </cacheField>
    <cacheField name="ED" numFmtId="0">
      <sharedItems containsSemiMixedTypes="0" containsString="0" containsNumber="1" containsInteger="1" minValue="4" maxValue="10"/>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String="0" containsBlank="1"/>
    </cacheField>
    <cacheField name="AED" numFmtId="0">
      <sharedItems containsNonDate="0" containsString="0" containsBlank="1"/>
    </cacheField>
    <cacheField name="AD" numFmtId="0">
      <sharedItems containsNonDate="0" containsString="0" containsBlank="1"/>
    </cacheField>
    <cacheField name="BCS" numFmtId="0">
      <sharedItems containsNonDate="0" containsString="0" containsBlank="1"/>
    </cacheField>
    <cacheField name="ECS" numFmtId="0">
      <sharedItems containsNonDate="0" containsString="0" containsBlank="1"/>
    </cacheField>
    <cacheField name="ACS" numFmtId="0">
      <sharedItems containsNonDate="0" containsString="0" containsBlank="1"/>
    </cacheField>
    <cacheField name="Notes" numFmtId="0">
      <sharedItems containsNonDate="0" containsString="0" containsBlank="1"/>
    </cacheField>
    <cacheField name="TColor" numFmtId="0">
      <sharedItems containsNonDate="0" containsString="0" containsBlank="1"/>
    </cacheField>
    <cacheField name="TPColor" numFmtId="0">
      <sharedItems containsNonDate="0" containsString="0" containsBlank="1"/>
    </cacheField>
    <cacheField name="BLColor" numFmtId="0">
      <sharedItems containsNonDate="0" containsString="0" containsBlank="1"/>
    </cacheField>
    <cacheField name="ACColor"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unt="2">
        <b v="1"/>
        <b v="0" u="1"/>
      </sharedItems>
    </cacheField>
    <cacheField name="Months" numFmtId="0" databaseField="0">
      <fieldGroup base="21">
        <rangePr groupBy="months" startDate="2021-08-05T00:00:00" endDate="2021-08-21T00:00:00"/>
        <groupItems count="14">
          <s v="&lt;8/5/2021"/>
          <s v="Jan"/>
          <s v="Feb"/>
          <s v="Mar"/>
          <s v="Apr"/>
          <s v="May"/>
          <s v="Jun"/>
          <s v="Jul"/>
          <s v="Aug"/>
          <s v="Sep"/>
          <s v="Oct"/>
          <s v="Nov"/>
          <s v="Dec"/>
          <s v="&gt;8/21/2021"/>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1"/>
    <x v="0"/>
    <x v="0"/>
    <n v="1"/>
    <m/>
    <m/>
    <m/>
    <m/>
    <n v="0"/>
    <m/>
    <s v="u"/>
    <n v="1"/>
    <s v="Type here or double click to edit in form"/>
    <x v="0"/>
    <x v="0"/>
    <x v="0"/>
    <m/>
    <m/>
    <m/>
    <m/>
    <d v="2021-08-08T00:00:00"/>
    <x v="0"/>
    <n v="10"/>
    <m/>
    <n v="100"/>
    <n v="1"/>
    <m/>
    <m/>
    <m/>
    <m/>
    <m/>
    <m/>
    <m/>
    <m/>
    <m/>
    <m/>
    <m/>
    <m/>
    <m/>
    <m/>
    <m/>
    <m/>
    <m/>
    <m/>
    <m/>
    <m/>
    <m/>
    <m/>
    <m/>
    <m/>
    <m/>
    <m/>
    <m/>
    <m/>
    <m/>
    <m/>
    <m/>
    <m/>
    <x v="0"/>
  </r>
  <r>
    <n v="1"/>
    <x v="0"/>
    <x v="0"/>
    <n v="4"/>
    <m/>
    <m/>
    <m/>
    <m/>
    <n v="0"/>
    <m/>
    <s v="u"/>
    <n v="2"/>
    <s v="Type here or double click to edit in form"/>
    <x v="1"/>
    <x v="1"/>
    <x v="0"/>
    <m/>
    <m/>
    <m/>
    <m/>
    <d v="2021-08-08T00:00:00"/>
    <x v="0"/>
    <n v="10"/>
    <m/>
    <n v="0"/>
    <n v="0.5"/>
    <m/>
    <m/>
    <m/>
    <m/>
    <m/>
    <m/>
    <m/>
    <m/>
    <m/>
    <m/>
    <m/>
    <m/>
    <m/>
    <m/>
    <m/>
    <m/>
    <m/>
    <m/>
    <m/>
    <m/>
    <m/>
    <m/>
    <m/>
    <m/>
    <m/>
    <m/>
    <m/>
    <m/>
    <m/>
    <m/>
    <m/>
    <m/>
    <x v="0"/>
  </r>
  <r>
    <n v="1"/>
    <x v="0"/>
    <x v="0"/>
    <n v="3"/>
    <m/>
    <m/>
    <m/>
    <m/>
    <n v="0"/>
    <m/>
    <s v="u"/>
    <n v="3"/>
    <s v="Type here or double click to edit in form"/>
    <x v="2"/>
    <x v="2"/>
    <x v="0"/>
    <m/>
    <m/>
    <m/>
    <m/>
    <d v="2021-08-08T00:00:00"/>
    <x v="0"/>
    <n v="10"/>
    <m/>
    <n v="0"/>
    <n v="0"/>
    <m/>
    <m/>
    <m/>
    <m/>
    <m/>
    <m/>
    <m/>
    <m/>
    <m/>
    <m/>
    <m/>
    <m/>
    <m/>
    <m/>
    <m/>
    <m/>
    <m/>
    <m/>
    <m/>
    <m/>
    <m/>
    <m/>
    <m/>
    <m/>
    <m/>
    <m/>
    <m/>
    <m/>
    <m/>
    <m/>
    <m/>
    <m/>
    <x v="0"/>
  </r>
  <r>
    <n v="1"/>
    <x v="0"/>
    <x v="0"/>
    <n v="2"/>
    <m/>
    <m/>
    <m/>
    <m/>
    <n v="0"/>
    <m/>
    <s v="u"/>
    <n v="4"/>
    <s v="Type here or double click to edit in form"/>
    <x v="0"/>
    <x v="3"/>
    <x v="0"/>
    <m/>
    <m/>
    <m/>
    <m/>
    <d v="2021-08-02T00:00:00"/>
    <x v="1"/>
    <n v="4"/>
    <m/>
    <n v="0"/>
    <n v="0"/>
    <m/>
    <m/>
    <m/>
    <m/>
    <m/>
    <m/>
    <m/>
    <m/>
    <m/>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T3" cacheId="1"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94">
  <location ref="U4:V7" firstHeaderRow="1" firstDataRow="1" firstDataCol="1" rowPageCount="2" colPageCount="1"/>
  <pivotFields count="60">
    <pivotField showAll="0"/>
    <pivotField axis="axisPage" showAll="0">
      <items count="8">
        <item h="1" m="1" x="3"/>
        <item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8" hier="-1"/>
    <pageField fld="1" hier="-1"/>
  </pageFields>
  <dataFields count="3">
    <dataField name="Baseline Cost" fld="29" baseField="0" baseItem="0" numFmtId="164"/>
    <dataField name="Estimated Cost" fld="30" baseField="0" baseItem="0" numFmtId="164"/>
    <dataField name="Actual Cost" fld="31" baseField="0" baseItem="0" numFmtId="164"/>
  </dataFields>
  <chartFormats count="7">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PT7" cacheId="1"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1" cacheId="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3">
  <location ref="A4:B8"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axis="axisRow"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4"/>
  </rowFields>
  <rowItems count="4">
    <i>
      <x/>
    </i>
    <i>
      <x v="1"/>
    </i>
    <i>
      <x v="2"/>
    </i>
    <i>
      <x v="3"/>
    </i>
  </rowItems>
  <colItems count="1">
    <i/>
  </colItems>
  <pageFields count="2">
    <pageField fld="58" hier="-1"/>
    <pageField fld="1" hier="-1"/>
  </pageFields>
  <dataFields count="1">
    <dataField name="Count of tID" fld="3" subtotal="count" baseField="0" baseItem="0"/>
  </dataFields>
  <chartFormats count="11">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T5" cacheId="1"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6"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2">
    <i>
      <x v="217"/>
    </i>
    <i>
      <x v="232"/>
    </i>
  </rowItems>
  <colItems count="1">
    <i/>
  </colItems>
  <pageFields count="2">
    <pageField fld="58"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PT6" cacheId="1"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axis="axisRow" showAll="0">
      <items count="39">
        <item m="1" x="30"/>
        <item m="1" x="1"/>
        <item m="1" x="26"/>
        <item m="1" x="16"/>
        <item m="1" x="10"/>
        <item m="1" x="37"/>
        <item m="1" x="11"/>
        <item m="1" x="28"/>
        <item m="1" x="18"/>
        <item m="1" x="31"/>
        <item m="1" x="23"/>
        <item x="0"/>
        <item m="1" x="35"/>
        <item m="1" x="33"/>
        <item m="1" x="7"/>
        <item m="1" x="14"/>
        <item m="1" x="27"/>
        <item m="1" x="4"/>
        <item m="1" x="36"/>
        <item m="1" x="22"/>
        <item m="1" x="19"/>
        <item m="1" x="29"/>
        <item m="1" x="20"/>
        <item m="1" x="13"/>
        <item m="1" x="12"/>
        <item m="1" x="6"/>
        <item m="1" x="2"/>
        <item m="1" x="3"/>
        <item m="1" x="17"/>
        <item m="1" x="24"/>
        <item m="1" x="9"/>
        <item m="1" x="8"/>
        <item m="1" x="15"/>
        <item m="1" x="5"/>
        <item m="1" x="32"/>
        <item m="1" x="21"/>
        <item m="1" x="25"/>
        <item m="1" x="34"/>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7000000}" name="PT8" cacheId="1"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T4" cacheId="1"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60">
    <pivotField showAll="0"/>
    <pivotField showAll="0"/>
    <pivotField axis="axisPage" showAll="0">
      <items count="3">
        <item m="1"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T2" cacheId="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9">
  <location ref="K4:L7"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3"/>
  </rowFields>
  <rowItems count="3">
    <i>
      <x/>
    </i>
    <i>
      <x v="1"/>
    </i>
    <i>
      <x v="2"/>
    </i>
  </rowItems>
  <colItems count="1">
    <i/>
  </colItems>
  <pageFields count="2">
    <pageField fld="58" hier="-1"/>
    <pageField fld="1" hier="-1"/>
  </pageFields>
  <dataFields count="1">
    <dataField name="Count of tID" fld="3" subtotal="count" baseField="0" baseItem="0"/>
  </dataFields>
  <chartFormats count="10">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00000000-0013-0000-FFFF-FFFF01000000}"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00000000-0013-0000-FFFF-FFFF02000000}"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3" s="1"/>
        <i x="2"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00000000-0013-0000-FFFF-FFFF03000000}"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38">
        <i x="0" s="1"/>
        <i x="15" s="1" nd="1"/>
        <i x="8" s="1" nd="1"/>
        <i x="30" s="1" nd="1"/>
        <i x="27" s="1" nd="1"/>
        <i x="29" s="1" nd="1"/>
        <i x="19" s="1" nd="1"/>
        <i x="22" s="1" nd="1"/>
        <i x="12" s="1" nd="1"/>
        <i x="33" s="1" nd="1"/>
        <i x="1" s="1" nd="1"/>
        <i x="21" s="1" nd="1"/>
        <i x="32" s="1" nd="1"/>
        <i x="4" s="1" nd="1"/>
        <i x="26" s="1" nd="1"/>
        <i x="9" s="1" nd="1"/>
        <i x="16" s="1" nd="1"/>
        <i x="10" s="1" nd="1"/>
        <i x="17" s="1" nd="1"/>
        <i x="20" s="1" nd="1"/>
        <i x="37" s="1" nd="1"/>
        <i x="11" s="1" nd="1"/>
        <i x="28" s="1" nd="1"/>
        <i x="3" s="1" nd="1"/>
        <i x="5" s="1" nd="1"/>
        <i x="24" s="1" nd="1"/>
        <i x="25" s="1" nd="1"/>
        <i x="34" s="1" nd="1"/>
        <i x="6" s="1" nd="1"/>
        <i x="18" s="1" nd="1"/>
        <i x="31" s="1" nd="1"/>
        <i x="14" s="1" nd="1"/>
        <i x="36" s="1" nd="1"/>
        <i x="7" s="1" nd="1"/>
        <i x="35" s="1" nd="1"/>
        <i x="13" s="1" nd="1"/>
        <i x="2" s="1" nd="1"/>
        <i x="2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00000000-0014-0000-FFFF-FFFF01000000}" cache="Slicer_Priority" caption="Priority" style="SlicerStyleLight2" rowHeight="241300"/>
  <slicer name="Status" xr10:uid="{00000000-0014-0000-FFFF-FFFF02000000}" cache="Slicer_Status" caption="Status" style="SlicerStyleLight6" rowHeight="241300"/>
  <slicer name="Resource" xr10:uid="{00000000-0014-0000-FFFF-FFFF03000000}"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ashboardTable" displayName="DashboardTable" ref="A1:BG5" totalsRowShown="0">
  <autoFilter ref="A1:BG5" xr:uid="{00000000-0009-0000-0100-000002000000}"/>
  <tableColumns count="59">
    <tableColumn id="1" xr3:uid="{00000000-0010-0000-0000-000001000000}" name="ProjectID"/>
    <tableColumn id="2" xr3:uid="{00000000-0010-0000-0000-000002000000}" name="dType"/>
    <tableColumn id="3" xr3:uid="{00000000-0010-0000-0000-000003000000}" name="GEType"/>
    <tableColumn id="4" xr3:uid="{00000000-0010-0000-0000-000004000000}" name="TID"/>
    <tableColumn id="5" xr3:uid="{00000000-0010-0000-0000-000005000000}" name="Dependency"/>
    <tableColumn id="6" xr3:uid="{00000000-0010-0000-0000-000006000000}" name="Dependents"/>
    <tableColumn id="7" xr3:uid="{00000000-0010-0000-0000-000007000000}" name="StartConstrain"/>
    <tableColumn id="8" xr3:uid="{00000000-0010-0000-0000-000008000000}" name="EndConstrain"/>
    <tableColumn id="9" xr3:uid="{00000000-0010-0000-0000-000009000000}" name="TIL"/>
    <tableColumn id="10" xr3:uid="{00000000-0010-0000-0000-00000A000000}" name="SS"/>
    <tableColumn id="11" xr3:uid="{00000000-0010-0000-0000-00000B000000}" name="TaskIcon"/>
    <tableColumn id="12" xr3:uid="{00000000-0010-0000-0000-00000C000000}" name="WBS"/>
    <tableColumn id="13" xr3:uid="{00000000-0010-0000-0000-00000D000000}" name="Task"/>
    <tableColumn id="14" xr3:uid="{00000000-0010-0000-0000-00000E000000}" name="Priority"/>
    <tableColumn id="15" xr3:uid="{00000000-0010-0000-0000-00000F000000}" name="Status"/>
    <tableColumn id="16" xr3:uid="{00000000-0010-0000-0000-000010000000}" name="Resource"/>
    <tableColumn id="17" xr3:uid="{00000000-0010-0000-0000-000011000000}" name="ResourceCost"/>
    <tableColumn id="18" xr3:uid="{00000000-0010-0000-0000-000012000000}" name="BSD"/>
    <tableColumn id="19" xr3:uid="{00000000-0010-0000-0000-000013000000}" name="BED"/>
    <tableColumn id="20" xr3:uid="{00000000-0010-0000-0000-000014000000}" name="BD"/>
    <tableColumn id="21" xr3:uid="{00000000-0010-0000-0000-000015000000}" name="ESD" dataDxfId="2"/>
    <tableColumn id="22" xr3:uid="{00000000-0010-0000-0000-000016000000}" name="EED" dataDxfId="1"/>
    <tableColumn id="23" xr3:uid="{00000000-0010-0000-0000-000017000000}" name="ED"/>
    <tableColumn id="24" xr3:uid="{00000000-0010-0000-0000-000018000000}" name="Work"/>
    <tableColumn id="25" xr3:uid="{00000000-0010-0000-0000-000019000000}" name="Done"/>
    <tableColumn id="26" xr3:uid="{00000000-0010-0000-0000-00001A000000}" name="PercentageCompleted"/>
    <tableColumn id="27" xr3:uid="{00000000-0010-0000-0000-00001B000000}" name="ASD"/>
    <tableColumn id="28" xr3:uid="{00000000-0010-0000-0000-00001C000000}" name="AED"/>
    <tableColumn id="29" xr3:uid="{00000000-0010-0000-0000-00001D000000}" name="AD"/>
    <tableColumn id="30" xr3:uid="{00000000-0010-0000-0000-00001E000000}" name="BCS"/>
    <tableColumn id="31" xr3:uid="{00000000-0010-0000-0000-00001F000000}" name="ECS"/>
    <tableColumn id="32" xr3:uid="{00000000-0010-0000-0000-000020000000}" name="ACS"/>
    <tableColumn id="33" xr3:uid="{00000000-0010-0000-0000-000021000000}" name="Notes"/>
    <tableColumn id="34" xr3:uid="{00000000-0010-0000-0000-000022000000}" name="TColor"/>
    <tableColumn id="35" xr3:uid="{00000000-0010-0000-0000-000023000000}" name="TPColor"/>
    <tableColumn id="36" xr3:uid="{00000000-0010-0000-0000-000024000000}" name="BLColor"/>
    <tableColumn id="37" xr3:uid="{00000000-0010-0000-0000-000025000000}" name="ACColor"/>
    <tableColumn id="38" xr3:uid="{00000000-0010-0000-0000-000026000000}" name="Custom 1"/>
    <tableColumn id="39" xr3:uid="{00000000-0010-0000-0000-000027000000}" name="Custom 2"/>
    <tableColumn id="40" xr3:uid="{00000000-0010-0000-0000-000028000000}" name="Custom 3"/>
    <tableColumn id="41" xr3:uid="{00000000-0010-0000-0000-000029000000}" name="Custom 4"/>
    <tableColumn id="42" xr3:uid="{00000000-0010-0000-0000-00002A000000}" name="Custom 5"/>
    <tableColumn id="43" xr3:uid="{00000000-0010-0000-0000-00002B000000}" name="Custom 6"/>
    <tableColumn id="44" xr3:uid="{00000000-0010-0000-0000-00002C000000}" name="Custom 7"/>
    <tableColumn id="45" xr3:uid="{00000000-0010-0000-0000-00002D000000}" name="Custom 8"/>
    <tableColumn id="46" xr3:uid="{00000000-0010-0000-0000-00002E000000}" name="Custom 9"/>
    <tableColumn id="47" xr3:uid="{00000000-0010-0000-0000-00002F000000}" name="Custom 10"/>
    <tableColumn id="48" xr3:uid="{00000000-0010-0000-0000-000030000000}" name="Custom 11"/>
    <tableColumn id="49" xr3:uid="{00000000-0010-0000-0000-000031000000}" name="Custom 12"/>
    <tableColumn id="50" xr3:uid="{00000000-0010-0000-0000-000032000000}" name="Custom 13"/>
    <tableColumn id="51" xr3:uid="{00000000-0010-0000-0000-000033000000}" name="Custom 14"/>
    <tableColumn id="52" xr3:uid="{00000000-0010-0000-0000-000034000000}" name="Custom 15"/>
    <tableColumn id="53" xr3:uid="{00000000-0010-0000-0000-000035000000}" name="Custom 16"/>
    <tableColumn id="54" xr3:uid="{00000000-0010-0000-0000-000036000000}" name="Custom 17"/>
    <tableColumn id="55" xr3:uid="{00000000-0010-0000-0000-000037000000}" name="Custom 18"/>
    <tableColumn id="56" xr3:uid="{00000000-0010-0000-0000-000038000000}" name="Custom 19"/>
    <tableColumn id="57" xr3:uid="{00000000-0010-0000-0000-000039000000}" name="Custom 20"/>
    <tableColumn id="58" xr3:uid="{00000000-0010-0000-0000-00003A000000}" name="LC"/>
    <tableColumn id="59" xr3:uid="{00000000-0010-0000-0000-00003B000000}"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00000000-0013-0000-FFFF-FFFF04000000}"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00000000-0014-0000-FFFF-FFFF04000000}" cache="NativeTimeline_EED" caption="Task Due Date" level="2" selectionLevel="2" scrollPosition="2021-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amp;utm_medium=97869268239790314190314197869090196294864013771059744140" TargetMode="External"/><Relationship Id="rId2" Type="http://schemas.openxmlformats.org/officeDocument/2006/relationships/hyperlink" Target="https://www.ganttexcel.com/documentation/?utm_source=xlc&amp;utm_medium=97869268239790314190314197869090196294864013771059744140" TargetMode="External"/><Relationship Id="rId1" Type="http://schemas.openxmlformats.org/officeDocument/2006/relationships/hyperlink" Target="https://www.ganttexcel.com/documentation/enable-macros/?utm_source=xlc&amp;utm_medium=97869268239790314190314197869090196294864013771059744140" TargetMode="External"/><Relationship Id="rId5" Type="http://schemas.openxmlformats.org/officeDocument/2006/relationships/drawing" Target="../drawings/drawing6.xml"/><Relationship Id="rId4"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D"/>
  <dimension ref="A1:BG5"/>
  <sheetViews>
    <sheetView workbookViewId="0">
      <selection activeCell="B33" sqref="B33"/>
    </sheetView>
  </sheetViews>
  <sheetFormatPr defaultRowHeight="14.4" x14ac:dyDescent="0.3"/>
  <cols>
    <col min="1" max="4" width="12.88671875" customWidth="1"/>
    <col min="5" max="5" width="15" customWidth="1"/>
    <col min="6" max="6" width="14.6640625" customWidth="1"/>
    <col min="7" max="7" width="16.44140625" customWidth="1"/>
    <col min="8" max="8" width="15.5546875" customWidth="1"/>
    <col min="9" max="16" width="12.88671875" customWidth="1"/>
    <col min="17" max="17" width="15.109375" customWidth="1"/>
    <col min="18" max="23" width="12.88671875" customWidth="1"/>
    <col min="24" max="24" width="13" customWidth="1"/>
    <col min="25" max="26" width="23" customWidth="1"/>
    <col min="27" max="57" width="12.88671875" customWidth="1"/>
    <col min="58" max="61" width="11" customWidth="1"/>
  </cols>
  <sheetData>
    <row r="1" spans="1:59" x14ac:dyDescent="0.3">
      <c r="A1" t="s">
        <v>170</v>
      </c>
      <c r="B1" t="s">
        <v>171</v>
      </c>
      <c r="C1" t="s">
        <v>234</v>
      </c>
      <c r="D1" t="s">
        <v>226</v>
      </c>
      <c r="E1" t="s">
        <v>227</v>
      </c>
      <c r="F1" t="s">
        <v>228</v>
      </c>
      <c r="G1" t="s">
        <v>229</v>
      </c>
      <c r="H1" t="s">
        <v>230</v>
      </c>
      <c r="I1" t="s">
        <v>160</v>
      </c>
      <c r="J1" t="s">
        <v>161</v>
      </c>
      <c r="K1" t="s">
        <v>231</v>
      </c>
      <c r="L1" t="s">
        <v>27</v>
      </c>
      <c r="M1" t="s">
        <v>26</v>
      </c>
      <c r="N1" t="s">
        <v>137</v>
      </c>
      <c r="O1" t="s">
        <v>138</v>
      </c>
      <c r="P1" t="s">
        <v>225</v>
      </c>
      <c r="Q1" t="s">
        <v>232</v>
      </c>
      <c r="R1" t="s">
        <v>25</v>
      </c>
      <c r="S1" t="s">
        <v>24</v>
      </c>
      <c r="T1" t="s">
        <v>23</v>
      </c>
      <c r="U1" t="s">
        <v>22</v>
      </c>
      <c r="V1" t="s">
        <v>20</v>
      </c>
      <c r="W1" t="s">
        <v>18</v>
      </c>
      <c r="X1" t="s">
        <v>223</v>
      </c>
      <c r="Y1" t="s">
        <v>233</v>
      </c>
      <c r="Z1" t="s">
        <v>17</v>
      </c>
      <c r="AA1" t="s">
        <v>21</v>
      </c>
      <c r="AB1" t="s">
        <v>19</v>
      </c>
      <c r="AC1" t="s">
        <v>16</v>
      </c>
      <c r="AD1" t="s">
        <v>15</v>
      </c>
      <c r="AE1" t="s">
        <v>14</v>
      </c>
      <c r="AF1" t="s">
        <v>13</v>
      </c>
      <c r="AG1" t="s">
        <v>12</v>
      </c>
      <c r="AH1" t="s">
        <v>162</v>
      </c>
      <c r="AI1" t="s">
        <v>163</v>
      </c>
      <c r="AJ1" t="s">
        <v>164</v>
      </c>
      <c r="AK1" t="s">
        <v>165</v>
      </c>
      <c r="AL1" t="s">
        <v>172</v>
      </c>
      <c r="AM1" t="s">
        <v>173</v>
      </c>
      <c r="AN1" t="s">
        <v>174</v>
      </c>
      <c r="AO1" t="s">
        <v>175</v>
      </c>
      <c r="AP1" t="s">
        <v>176</v>
      </c>
      <c r="AQ1" t="s">
        <v>177</v>
      </c>
      <c r="AR1" t="s">
        <v>178</v>
      </c>
      <c r="AS1" t="s">
        <v>179</v>
      </c>
      <c r="AT1" t="s">
        <v>180</v>
      </c>
      <c r="AU1" t="s">
        <v>181</v>
      </c>
      <c r="AV1" t="s">
        <v>182</v>
      </c>
      <c r="AW1" t="s">
        <v>183</v>
      </c>
      <c r="AX1" t="s">
        <v>184</v>
      </c>
      <c r="AY1" t="s">
        <v>185</v>
      </c>
      <c r="AZ1" t="s">
        <v>186</v>
      </c>
      <c r="BA1" t="s">
        <v>187</v>
      </c>
      <c r="BB1" t="s">
        <v>188</v>
      </c>
      <c r="BC1" t="s">
        <v>189</v>
      </c>
      <c r="BD1" t="s">
        <v>190</v>
      </c>
      <c r="BE1" t="s">
        <v>191</v>
      </c>
      <c r="BF1" t="s">
        <v>166</v>
      </c>
      <c r="BG1" s="130" t="s">
        <v>215</v>
      </c>
    </row>
    <row r="2" spans="1:59" x14ac:dyDescent="0.3">
      <c r="A2">
        <v>1</v>
      </c>
      <c r="B2" t="s">
        <v>167</v>
      </c>
      <c r="C2" t="s">
        <v>167</v>
      </c>
      <c r="D2">
        <v>1</v>
      </c>
      <c r="I2">
        <v>0</v>
      </c>
      <c r="K2" t="s">
        <v>169</v>
      </c>
      <c r="L2">
        <v>1</v>
      </c>
      <c r="M2" t="s">
        <v>243</v>
      </c>
      <c r="N2" t="s">
        <v>168</v>
      </c>
      <c r="O2" t="s">
        <v>56</v>
      </c>
      <c r="U2" s="89">
        <v>44416</v>
      </c>
      <c r="V2" s="89">
        <v>44428</v>
      </c>
      <c r="W2">
        <v>10</v>
      </c>
      <c r="Y2">
        <v>100</v>
      </c>
      <c r="Z2">
        <v>1</v>
      </c>
      <c r="BG2" s="130" t="e">
        <f>DashboardTable[[#This Row],[ProjectID]]=#REF!</f>
        <v>#REF!</v>
      </c>
    </row>
    <row r="3" spans="1:59" x14ac:dyDescent="0.3">
      <c r="A3">
        <v>1</v>
      </c>
      <c r="B3" t="s">
        <v>167</v>
      </c>
      <c r="C3" t="s">
        <v>167</v>
      </c>
      <c r="D3">
        <v>4</v>
      </c>
      <c r="I3">
        <v>0</v>
      </c>
      <c r="K3" t="s">
        <v>169</v>
      </c>
      <c r="L3">
        <v>2</v>
      </c>
      <c r="M3" t="s">
        <v>243</v>
      </c>
      <c r="N3" t="s">
        <v>237</v>
      </c>
      <c r="O3" t="s">
        <v>244</v>
      </c>
      <c r="U3" s="89">
        <v>44416</v>
      </c>
      <c r="V3" s="89">
        <v>44428</v>
      </c>
      <c r="W3">
        <v>10</v>
      </c>
      <c r="Y3">
        <v>0</v>
      </c>
      <c r="Z3">
        <v>0.5</v>
      </c>
      <c r="BG3" s="130" t="e">
        <f>DashboardTable[[#This Row],[ProjectID]]=#REF!</f>
        <v>#REF!</v>
      </c>
    </row>
    <row r="4" spans="1:59" x14ac:dyDescent="0.3">
      <c r="A4">
        <v>1</v>
      </c>
      <c r="B4" t="s">
        <v>167</v>
      </c>
      <c r="C4" t="s">
        <v>167</v>
      </c>
      <c r="D4">
        <v>3</v>
      </c>
      <c r="I4">
        <v>0</v>
      </c>
      <c r="K4" t="s">
        <v>169</v>
      </c>
      <c r="L4">
        <v>3</v>
      </c>
      <c r="M4" t="s">
        <v>243</v>
      </c>
      <c r="N4" t="s">
        <v>236</v>
      </c>
      <c r="O4" t="s">
        <v>58</v>
      </c>
      <c r="U4" s="89">
        <v>44416</v>
      </c>
      <c r="V4" s="89">
        <v>44428</v>
      </c>
      <c r="W4">
        <v>10</v>
      </c>
      <c r="Y4">
        <v>0</v>
      </c>
      <c r="Z4">
        <v>0</v>
      </c>
      <c r="BG4" s="130" t="e">
        <f>DashboardTable[[#This Row],[ProjectID]]=#REF!</f>
        <v>#REF!</v>
      </c>
    </row>
    <row r="5" spans="1:59" x14ac:dyDescent="0.3">
      <c r="A5">
        <v>1</v>
      </c>
      <c r="B5" t="s">
        <v>167</v>
      </c>
      <c r="C5" t="s">
        <v>167</v>
      </c>
      <c r="D5">
        <v>2</v>
      </c>
      <c r="I5">
        <v>0</v>
      </c>
      <c r="K5" t="s">
        <v>169</v>
      </c>
      <c r="L5">
        <v>4</v>
      </c>
      <c r="M5" t="s">
        <v>243</v>
      </c>
      <c r="N5" t="s">
        <v>168</v>
      </c>
      <c r="O5" t="s">
        <v>59</v>
      </c>
      <c r="U5" s="89">
        <v>44410</v>
      </c>
      <c r="V5" s="89">
        <v>44413</v>
      </c>
      <c r="W5">
        <v>4</v>
      </c>
      <c r="Y5">
        <v>0</v>
      </c>
      <c r="Z5">
        <v>0</v>
      </c>
      <c r="BG5" s="130" t="e">
        <f>DashboardTable[[#This Row],[ProjectID]]=#REF!</f>
        <v>#REF!</v>
      </c>
    </row>
  </sheetData>
  <phoneticPr fontId="24"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ST"/>
  <dimension ref="A1:LW10"/>
  <sheetViews>
    <sheetView workbookViewId="0">
      <selection activeCell="G26" sqref="G26"/>
    </sheetView>
  </sheetViews>
  <sheetFormatPr defaultColWidth="9.109375" defaultRowHeight="14.4" x14ac:dyDescent="0.3"/>
  <cols>
    <col min="1" max="1" width="9.109375" style="52"/>
    <col min="2" max="2" width="9.109375" style="63"/>
    <col min="3" max="11" width="9.109375" style="52"/>
    <col min="12" max="12" width="14.88671875" style="87" customWidth="1"/>
    <col min="13" max="13" width="14.88671875" style="88" customWidth="1"/>
    <col min="14" max="14" width="12.88671875" style="52" customWidth="1"/>
    <col min="15" max="19" width="9.109375" style="52"/>
    <col min="20" max="20" width="12.6640625" style="52" customWidth="1"/>
    <col min="21" max="27" width="9.109375" style="52"/>
    <col min="28" max="28" width="19.6640625" style="52" customWidth="1"/>
    <col min="29" max="45" width="9.109375" style="52"/>
    <col min="46" max="46" width="9.109375" style="88"/>
    <col min="47" max="64" width="9.109375" style="52"/>
    <col min="65" max="65" width="9.109375" style="57"/>
    <col min="66" max="71" width="9.109375" style="60"/>
    <col min="72" max="102" width="9.109375" style="52"/>
    <col min="103" max="103" width="9.109375" style="62"/>
    <col min="104" max="313" width="9.109375" style="52"/>
    <col min="314" max="325" width="9.109375" style="62"/>
    <col min="326" max="16384" width="9.109375" style="52"/>
  </cols>
  <sheetData>
    <row r="1" spans="1:335" x14ac:dyDescent="0.3">
      <c r="A1" s="11" t="s">
        <v>132</v>
      </c>
      <c r="B1" s="11" t="s">
        <v>146</v>
      </c>
      <c r="C1" s="9" t="s">
        <v>42</v>
      </c>
      <c r="D1" s="9" t="s">
        <v>62</v>
      </c>
      <c r="E1" s="9" t="s">
        <v>45</v>
      </c>
      <c r="F1" s="9" t="s">
        <v>53</v>
      </c>
      <c r="G1" s="9" t="s">
        <v>4</v>
      </c>
      <c r="H1" s="9" t="s">
        <v>6</v>
      </c>
      <c r="I1" s="9" t="s">
        <v>55</v>
      </c>
      <c r="J1" s="9" t="s">
        <v>54</v>
      </c>
      <c r="K1" s="9" t="s">
        <v>71</v>
      </c>
      <c r="L1" s="9" t="s">
        <v>148</v>
      </c>
      <c r="M1" s="9" t="s">
        <v>149</v>
      </c>
      <c r="N1" s="9" t="s">
        <v>64</v>
      </c>
      <c r="O1" s="9" t="s">
        <v>65</v>
      </c>
      <c r="P1" s="9" t="s">
        <v>51</v>
      </c>
      <c r="Q1" s="9" t="s">
        <v>50</v>
      </c>
      <c r="R1" s="9" t="s">
        <v>49</v>
      </c>
      <c r="S1" s="9" t="s">
        <v>48</v>
      </c>
      <c r="T1" s="9" t="s">
        <v>120</v>
      </c>
      <c r="U1" s="9" t="s">
        <v>121</v>
      </c>
      <c r="V1" s="9" t="s">
        <v>122</v>
      </c>
      <c r="W1" s="9" t="s">
        <v>123</v>
      </c>
      <c r="X1" s="9" t="s">
        <v>124</v>
      </c>
      <c r="Y1" s="9" t="s">
        <v>41</v>
      </c>
      <c r="Z1" s="9" t="s">
        <v>40</v>
      </c>
      <c r="AA1" s="9" t="s">
        <v>43</v>
      </c>
      <c r="AB1" s="9" t="s">
        <v>135</v>
      </c>
      <c r="AC1" s="9" t="s">
        <v>52</v>
      </c>
      <c r="AD1" s="9" t="s">
        <v>47</v>
      </c>
      <c r="AE1" s="9" t="s">
        <v>36</v>
      </c>
      <c r="AF1" s="9" t="s">
        <v>35</v>
      </c>
      <c r="AG1" s="9" t="s">
        <v>34</v>
      </c>
      <c r="AH1" s="9" t="s">
        <v>33</v>
      </c>
      <c r="AI1" s="9" t="s">
        <v>32</v>
      </c>
      <c r="AJ1" s="9" t="s">
        <v>31</v>
      </c>
      <c r="AK1" s="9" t="s">
        <v>30</v>
      </c>
      <c r="AL1" s="9" t="s">
        <v>66</v>
      </c>
      <c r="AM1" s="9" t="s">
        <v>67</v>
      </c>
      <c r="AN1" s="9"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9" t="s">
        <v>100</v>
      </c>
      <c r="BV1" s="9" t="s">
        <v>101</v>
      </c>
      <c r="BW1" s="9" t="s">
        <v>102</v>
      </c>
      <c r="BX1" s="9" t="s">
        <v>103</v>
      </c>
      <c r="BY1" s="9" t="s">
        <v>104</v>
      </c>
      <c r="BZ1" s="9" t="s">
        <v>105</v>
      </c>
      <c r="CA1" s="9" t="s">
        <v>106</v>
      </c>
      <c r="CB1" s="9" t="s">
        <v>107</v>
      </c>
      <c r="CC1" s="9" t="s">
        <v>108</v>
      </c>
      <c r="CD1" s="9" t="s">
        <v>109</v>
      </c>
      <c r="CE1" s="9" t="s">
        <v>110</v>
      </c>
      <c r="CF1" s="9" t="s">
        <v>112</v>
      </c>
      <c r="CG1" s="9" t="s">
        <v>111</v>
      </c>
      <c r="CH1" s="9" t="s">
        <v>115</v>
      </c>
      <c r="CI1" s="9" t="s">
        <v>117</v>
      </c>
      <c r="CJ1" s="9" t="s">
        <v>118</v>
      </c>
      <c r="CK1" s="9" t="s">
        <v>119</v>
      </c>
      <c r="CL1" s="9" t="s">
        <v>109</v>
      </c>
      <c r="CM1" s="9" t="s">
        <v>110</v>
      </c>
      <c r="CN1" s="9" t="s">
        <v>112</v>
      </c>
      <c r="CO1" s="9" t="s">
        <v>111</v>
      </c>
      <c r="CP1" s="9" t="s">
        <v>115</v>
      </c>
      <c r="CQ1" s="9" t="s">
        <v>117</v>
      </c>
      <c r="CR1" s="9" t="s">
        <v>118</v>
      </c>
      <c r="CS1" s="9" t="s">
        <v>119</v>
      </c>
      <c r="CT1" s="12" t="s">
        <v>133</v>
      </c>
      <c r="CU1" s="12" t="s">
        <v>128</v>
      </c>
      <c r="CV1" s="12" t="s">
        <v>134</v>
      </c>
      <c r="CW1" s="12" t="s">
        <v>131</v>
      </c>
      <c r="CX1" s="12" t="s">
        <v>130</v>
      </c>
      <c r="CY1" s="12" t="s">
        <v>147</v>
      </c>
      <c r="CZ1" s="12" t="s">
        <v>155</v>
      </c>
      <c r="DA1" s="12" t="s">
        <v>154</v>
      </c>
      <c r="DB1" s="12" t="s">
        <v>153</v>
      </c>
      <c r="DC1" s="12" t="s">
        <v>152</v>
      </c>
      <c r="DD1" s="12" t="s">
        <v>159</v>
      </c>
      <c r="LO1" s="12" t="s">
        <v>46</v>
      </c>
      <c r="LP1" s="12" t="s">
        <v>44</v>
      </c>
      <c r="LQ1" s="12" t="s">
        <v>39</v>
      </c>
      <c r="LR1" s="12" t="s">
        <v>38</v>
      </c>
      <c r="LS1" s="12" t="s">
        <v>37</v>
      </c>
      <c r="LT1" s="12" t="s">
        <v>60</v>
      </c>
      <c r="LU1" s="12" t="s">
        <v>61</v>
      </c>
      <c r="LV1" s="12" t="s">
        <v>72</v>
      </c>
      <c r="LW1" s="12"/>
    </row>
    <row r="2" spans="1:335" x14ac:dyDescent="0.3">
      <c r="A2" s="10" t="s">
        <v>113</v>
      </c>
      <c r="B2" s="10">
        <v>1</v>
      </c>
      <c r="C2" s="9" t="s">
        <v>28</v>
      </c>
      <c r="D2" s="9" t="s">
        <v>63</v>
      </c>
      <c r="E2" s="9" t="b">
        <v>1</v>
      </c>
      <c r="F2" s="13" t="s">
        <v>8</v>
      </c>
      <c r="G2" s="14">
        <v>20000</v>
      </c>
      <c r="H2" s="14">
        <v>10000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9" t="b">
        <v>1</v>
      </c>
      <c r="Z2" s="9" t="b">
        <v>0</v>
      </c>
      <c r="AA2" s="9">
        <v>0</v>
      </c>
      <c r="AB2" s="13">
        <v>1</v>
      </c>
      <c r="AC2" s="13" t="s">
        <v>29</v>
      </c>
      <c r="AD2" s="13">
        <v>1</v>
      </c>
      <c r="AE2" s="9" t="b">
        <v>0</v>
      </c>
      <c r="AF2" s="9">
        <v>20</v>
      </c>
      <c r="AG2" s="51" t="s">
        <v>127</v>
      </c>
      <c r="AH2" s="9" t="s">
        <v>26</v>
      </c>
      <c r="AI2" s="9" t="b">
        <v>1</v>
      </c>
      <c r="AJ2" s="9" t="b">
        <v>0</v>
      </c>
      <c r="AK2" s="9" t="b">
        <v>0</v>
      </c>
      <c r="AL2" s="9" t="s">
        <v>68</v>
      </c>
      <c r="AM2" s="9" t="s">
        <v>69</v>
      </c>
      <c r="AN2" s="9"/>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10">
        <v>56</v>
      </c>
      <c r="BU2" s="27">
        <v>35</v>
      </c>
      <c r="BV2" s="9">
        <v>6</v>
      </c>
      <c r="BW2" s="9">
        <v>2</v>
      </c>
      <c r="BX2" s="9">
        <v>2</v>
      </c>
      <c r="BY2" s="9">
        <v>3</v>
      </c>
      <c r="BZ2" s="9">
        <v>2</v>
      </c>
      <c r="CA2" s="9">
        <v>3</v>
      </c>
      <c r="CB2" s="9">
        <v>3</v>
      </c>
      <c r="CC2" s="9">
        <v>6</v>
      </c>
      <c r="CD2" s="9">
        <v>8</v>
      </c>
      <c r="CE2" s="9">
        <v>10</v>
      </c>
      <c r="CF2" s="9">
        <v>12</v>
      </c>
      <c r="CG2" s="9">
        <v>15</v>
      </c>
      <c r="CH2" s="9" t="b">
        <v>1</v>
      </c>
      <c r="CI2" s="13" t="b">
        <v>1</v>
      </c>
      <c r="CJ2" s="15">
        <v>43647</v>
      </c>
      <c r="CK2" s="15">
        <v>43679</v>
      </c>
      <c r="CL2" s="9">
        <v>6</v>
      </c>
      <c r="CM2" s="9">
        <v>10</v>
      </c>
      <c r="CN2" s="9">
        <v>12</v>
      </c>
      <c r="CO2" s="9">
        <v>15</v>
      </c>
      <c r="CP2" s="9" t="b">
        <v>1</v>
      </c>
      <c r="CQ2" s="13" t="b">
        <v>1</v>
      </c>
      <c r="CR2" s="15">
        <v>43617</v>
      </c>
      <c r="CS2" s="15">
        <v>43672</v>
      </c>
      <c r="CT2" s="56" t="s">
        <v>129</v>
      </c>
      <c r="CU2" s="56" t="b">
        <v>1</v>
      </c>
      <c r="CV2" s="56" t="b">
        <v>1</v>
      </c>
      <c r="CW2" s="52" t="b">
        <v>1</v>
      </c>
      <c r="CX2" s="52" t="b">
        <v>1</v>
      </c>
      <c r="CY2" s="62" t="b">
        <v>1</v>
      </c>
      <c r="CZ2" s="52">
        <v>2000</v>
      </c>
      <c r="DA2" s="52">
        <v>2050</v>
      </c>
      <c r="DB2" s="89">
        <v>36526</v>
      </c>
      <c r="DC2" s="89">
        <v>54789</v>
      </c>
      <c r="DD2" s="89">
        <v>44682</v>
      </c>
      <c r="LO2" s="48">
        <v>1</v>
      </c>
      <c r="LP2" s="12" t="s">
        <v>245</v>
      </c>
      <c r="LQ2" s="49" t="s">
        <v>288</v>
      </c>
      <c r="LR2" s="49" t="s">
        <v>289</v>
      </c>
      <c r="LS2" s="49" t="s">
        <v>246</v>
      </c>
      <c r="LT2" s="12" t="s">
        <v>247</v>
      </c>
      <c r="LU2" s="12"/>
      <c r="LV2" s="50">
        <v>44657</v>
      </c>
    </row>
    <row r="3" spans="1:335" x14ac:dyDescent="0.3">
      <c r="A3" s="10"/>
      <c r="B3" s="10"/>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9"/>
      <c r="BU3" s="9"/>
      <c r="BV3" s="9"/>
      <c r="BW3" s="9"/>
      <c r="BX3" s="9"/>
      <c r="BY3" s="9"/>
      <c r="BZ3" s="9"/>
      <c r="CA3" s="9"/>
      <c r="CB3" s="9"/>
      <c r="CC3" s="9"/>
      <c r="CD3" s="9"/>
      <c r="CE3" s="9"/>
      <c r="CF3" s="9"/>
      <c r="CG3" s="9"/>
      <c r="CH3" s="9"/>
      <c r="CI3" s="9"/>
      <c r="CJ3" s="9"/>
      <c r="CK3" s="9"/>
      <c r="CL3" s="9"/>
      <c r="CM3" s="9"/>
      <c r="CN3" s="9"/>
      <c r="CO3" s="9"/>
      <c r="CP3" s="9"/>
      <c r="CQ3" s="9"/>
      <c r="CR3" s="9"/>
      <c r="CS3" s="9"/>
      <c r="CT3" s="56"/>
      <c r="CU3" s="56"/>
      <c r="CV3" s="56"/>
    </row>
    <row r="4" spans="1:335" x14ac:dyDescent="0.3">
      <c r="A4" s="10"/>
      <c r="B4" s="10"/>
      <c r="C4" s="9"/>
      <c r="D4" s="9"/>
      <c r="E4" s="9"/>
      <c r="F4" s="9"/>
      <c r="G4" s="9"/>
      <c r="H4" s="9"/>
      <c r="I4" s="9"/>
      <c r="J4" s="9"/>
      <c r="K4" s="9"/>
      <c r="L4" s="9"/>
      <c r="M4" s="9"/>
      <c r="N4" s="9"/>
      <c r="O4" s="9"/>
      <c r="P4" s="9"/>
      <c r="Q4"/>
      <c r="R4"/>
      <c r="S4"/>
      <c r="T4"/>
      <c r="U4"/>
      <c r="V4"/>
      <c r="W4" s="9"/>
      <c r="X4" s="9"/>
      <c r="Y4" s="9"/>
      <c r="Z4" s="9"/>
      <c r="AA4" s="9"/>
      <c r="AB4" s="9"/>
      <c r="AC4" s="9"/>
      <c r="AD4" s="9"/>
      <c r="AE4" s="9"/>
      <c r="AF4" s="9"/>
      <c r="AG4" s="9"/>
      <c r="AH4" s="9"/>
      <c r="AI4" s="9"/>
      <c r="AJ4" s="9"/>
      <c r="AK4" s="9"/>
      <c r="AL4" s="9"/>
      <c r="AM4" s="9"/>
      <c r="AN4" s="9"/>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9"/>
      <c r="BU4" s="9"/>
      <c r="BV4" s="9"/>
      <c r="BW4" s="9"/>
      <c r="BX4" s="9"/>
      <c r="BY4" s="9"/>
      <c r="BZ4" s="9"/>
      <c r="CA4" s="9"/>
      <c r="CB4" s="9"/>
      <c r="CC4" s="9"/>
      <c r="CD4" s="9"/>
      <c r="CE4" s="9"/>
      <c r="CF4" s="9"/>
      <c r="CG4" s="9"/>
      <c r="CH4" s="9"/>
      <c r="CI4" s="9"/>
      <c r="CJ4" s="9"/>
      <c r="CK4" s="9"/>
      <c r="CL4" s="9"/>
      <c r="CM4" s="9"/>
      <c r="CN4" s="9"/>
      <c r="CO4" s="9"/>
      <c r="CP4" s="9"/>
      <c r="CQ4" s="9"/>
      <c r="CR4" s="9"/>
      <c r="CS4" s="9"/>
      <c r="CT4" s="56"/>
      <c r="CU4" s="56"/>
      <c r="CV4" s="56"/>
    </row>
    <row r="5" spans="1:335" x14ac:dyDescent="0.3">
      <c r="A5" s="10"/>
      <c r="B5" s="10"/>
      <c r="C5" s="9"/>
      <c r="D5" s="9"/>
      <c r="E5" s="9"/>
      <c r="F5" s="9"/>
      <c r="G5" s="9"/>
      <c r="H5" s="9"/>
      <c r="I5" s="9"/>
      <c r="J5" s="9"/>
      <c r="K5" s="9"/>
      <c r="L5" s="9"/>
      <c r="M5" s="9"/>
      <c r="N5" s="9"/>
      <c r="O5" s="9"/>
      <c r="P5" s="9"/>
      <c r="Q5"/>
      <c r="R5"/>
      <c r="S5"/>
      <c r="T5"/>
      <c r="U5"/>
      <c r="V5"/>
      <c r="W5" s="9"/>
      <c r="X5" s="9"/>
      <c r="Y5" s="9"/>
      <c r="Z5" s="9"/>
      <c r="AA5" s="9"/>
      <c r="AB5" s="9"/>
      <c r="AC5" s="9"/>
      <c r="AD5" s="9"/>
      <c r="AE5" s="9"/>
      <c r="AF5" s="9"/>
      <c r="AG5" s="9"/>
      <c r="AH5" s="9"/>
      <c r="AI5" s="9"/>
      <c r="AJ5" s="9"/>
      <c r="AK5" s="9"/>
      <c r="AL5" s="9"/>
      <c r="AM5" s="9"/>
      <c r="AN5" s="9"/>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9"/>
      <c r="BU5" s="9"/>
      <c r="BV5" s="9"/>
      <c r="BW5" s="9"/>
      <c r="BX5" s="9"/>
      <c r="BY5" s="9"/>
      <c r="BZ5" s="9"/>
      <c r="CA5" s="9"/>
      <c r="CB5" s="9"/>
      <c r="CC5" s="9"/>
      <c r="CD5" s="9"/>
      <c r="CE5" s="9"/>
      <c r="CF5" s="9"/>
      <c r="CG5" s="9"/>
      <c r="CH5" s="9"/>
      <c r="CI5" s="9"/>
      <c r="CJ5" s="9"/>
      <c r="CK5" s="9"/>
      <c r="CL5" s="9"/>
      <c r="CM5" s="9"/>
      <c r="CN5" s="9"/>
      <c r="CO5" s="9"/>
      <c r="CP5" s="9"/>
      <c r="CQ5" s="9"/>
      <c r="CR5" s="9"/>
      <c r="CS5" s="9"/>
      <c r="CT5" s="56"/>
      <c r="CU5" s="56"/>
      <c r="CV5" s="56"/>
    </row>
    <row r="6" spans="1:335" x14ac:dyDescent="0.3">
      <c r="A6" s="10"/>
      <c r="B6" s="10"/>
      <c r="C6" s="10"/>
      <c r="D6" s="10"/>
      <c r="E6" s="10"/>
      <c r="F6" s="10"/>
      <c r="G6" s="10"/>
      <c r="H6" s="10"/>
      <c r="I6" s="10"/>
      <c r="J6" s="10"/>
      <c r="K6" s="10"/>
      <c r="L6" s="76"/>
      <c r="M6" s="76"/>
      <c r="N6" s="10"/>
      <c r="O6" s="10"/>
      <c r="P6" s="10"/>
      <c r="Q6"/>
      <c r="R6"/>
      <c r="S6"/>
      <c r="T6"/>
      <c r="U6"/>
      <c r="V6"/>
      <c r="W6" s="10"/>
      <c r="X6" s="10"/>
      <c r="Y6" s="10"/>
      <c r="Z6" s="10"/>
      <c r="AA6" s="10"/>
      <c r="AB6" s="10"/>
      <c r="AC6" s="10"/>
      <c r="AD6" s="10"/>
      <c r="AE6" s="10"/>
      <c r="AF6" s="10"/>
      <c r="AG6" s="10"/>
      <c r="AH6" s="10"/>
      <c r="AI6" s="10"/>
      <c r="AJ6" s="10"/>
      <c r="AK6" s="10"/>
      <c r="AL6" s="10"/>
      <c r="AM6" s="10"/>
      <c r="AN6" s="10"/>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56"/>
      <c r="CU6" s="56"/>
      <c r="CV6" s="56"/>
    </row>
    <row r="7" spans="1:335" x14ac:dyDescent="0.3">
      <c r="A7" s="10"/>
      <c r="B7" s="10"/>
      <c r="C7" s="10"/>
      <c r="D7" s="10"/>
      <c r="E7" s="10"/>
      <c r="F7" s="10"/>
      <c r="G7" s="10"/>
      <c r="H7" s="10"/>
      <c r="I7" s="10"/>
      <c r="J7" s="10"/>
      <c r="K7" s="10"/>
      <c r="L7" s="76"/>
      <c r="M7" s="76"/>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56"/>
      <c r="CU7" s="56"/>
      <c r="CV7" s="56"/>
    </row>
    <row r="8" spans="1:335" x14ac:dyDescent="0.3">
      <c r="A8" s="56"/>
      <c r="C8" s="56"/>
      <c r="D8" s="56"/>
      <c r="E8" s="56"/>
      <c r="F8" s="56"/>
      <c r="G8" s="56"/>
      <c r="H8" s="56"/>
      <c r="I8" s="56"/>
      <c r="J8" s="56"/>
      <c r="K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U8" s="56"/>
      <c r="AV8" s="56"/>
      <c r="AW8" s="56"/>
      <c r="AX8" s="56"/>
      <c r="AY8" s="56"/>
      <c r="AZ8" s="56"/>
      <c r="BA8" s="56"/>
      <c r="BB8" s="56"/>
      <c r="BC8" s="56"/>
      <c r="BD8" s="56"/>
      <c r="BE8" s="56"/>
      <c r="BF8" s="56"/>
      <c r="BG8" s="56"/>
      <c r="BH8" s="56"/>
      <c r="BI8" s="56"/>
      <c r="BJ8" s="56"/>
      <c r="BK8" s="56"/>
      <c r="BL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row>
    <row r="9" spans="1:335" x14ac:dyDescent="0.3">
      <c r="A9" s="56"/>
      <c r="C9" s="56"/>
      <c r="D9" s="56"/>
      <c r="E9" s="56"/>
      <c r="F9" s="56"/>
      <c r="G9" s="56"/>
      <c r="H9" s="56"/>
      <c r="I9" s="56"/>
      <c r="J9" s="56"/>
      <c r="K9" s="56"/>
      <c r="N9" s="56"/>
      <c r="O9" s="56"/>
      <c r="P9" s="56"/>
      <c r="Q9" s="56"/>
      <c r="R9" s="56"/>
      <c r="S9" s="56"/>
      <c r="T9" s="56"/>
      <c r="U9" s="56"/>
      <c r="V9" s="56"/>
      <c r="W9" s="56"/>
      <c r="X9" s="56"/>
      <c r="Y9" s="56"/>
      <c r="Z9" s="56"/>
      <c r="AA9" s="56"/>
      <c r="AB9" s="56"/>
      <c r="AC9" s="56"/>
      <c r="AD9" s="56"/>
      <c r="AE9" s="56"/>
      <c r="AF9" s="56"/>
      <c r="AG9" s="56"/>
      <c r="AH9" s="56"/>
      <c r="AI9" s="56"/>
      <c r="AJ9" s="56"/>
      <c r="AK9" s="56"/>
      <c r="AL9" s="56"/>
      <c r="AM9" s="56"/>
      <c r="AN9" s="56"/>
      <c r="AO9" s="56"/>
      <c r="AP9" s="56"/>
      <c r="AQ9" s="56"/>
      <c r="AR9" s="56"/>
      <c r="AS9" s="56"/>
      <c r="AU9" s="56"/>
      <c r="AV9" s="56"/>
      <c r="AW9" s="56"/>
      <c r="AX9" s="56"/>
      <c r="AY9" s="56"/>
      <c r="AZ9" s="56"/>
      <c r="BA9" s="56"/>
      <c r="BB9" s="56"/>
      <c r="BC9" s="56"/>
      <c r="BD9" s="56"/>
      <c r="BE9" s="56"/>
      <c r="BF9" s="56"/>
      <c r="BG9" s="56"/>
      <c r="BH9" s="56"/>
      <c r="BI9" s="56"/>
      <c r="BJ9" s="56"/>
      <c r="BK9" s="56"/>
      <c r="BL9" s="56"/>
      <c r="BT9" s="56"/>
      <c r="BU9" s="56"/>
      <c r="BV9" s="56"/>
      <c r="BW9" s="56"/>
      <c r="BX9" s="56"/>
      <c r="BY9" s="56"/>
      <c r="BZ9" s="56"/>
      <c r="CA9" s="56"/>
      <c r="CB9" s="56"/>
      <c r="CC9" s="56"/>
      <c r="CD9" s="56"/>
      <c r="CE9" s="56"/>
      <c r="CF9" s="56"/>
      <c r="CG9" s="56"/>
      <c r="CH9" s="56"/>
      <c r="CI9" s="56"/>
      <c r="CJ9" s="56"/>
      <c r="CK9" s="56"/>
      <c r="CL9" s="56"/>
      <c r="CM9" s="56"/>
      <c r="CN9" s="56"/>
      <c r="CO9" s="56"/>
      <c r="CP9" s="56"/>
      <c r="CQ9" s="56"/>
      <c r="CR9" s="56"/>
      <c r="CS9" s="56"/>
      <c r="CT9" s="56"/>
      <c r="CU9" s="56"/>
      <c r="CV9" s="56"/>
    </row>
    <row r="10" spans="1:335" x14ac:dyDescent="0.3">
      <c r="A10" s="56"/>
      <c r="C10" s="56"/>
      <c r="D10" s="56"/>
      <c r="E10" s="56"/>
      <c r="F10" s="56"/>
      <c r="G10" s="56"/>
      <c r="H10" s="56"/>
      <c r="I10" s="56"/>
      <c r="J10" s="56"/>
      <c r="K10" s="56"/>
      <c r="N10" s="56"/>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U10" s="56"/>
      <c r="AV10" s="56"/>
      <c r="AW10" s="56"/>
      <c r="AX10" s="56"/>
      <c r="AY10" s="56"/>
      <c r="AZ10" s="56"/>
      <c r="BA10" s="56"/>
      <c r="BB10" s="56"/>
      <c r="BC10" s="56"/>
      <c r="BD10" s="56"/>
      <c r="BE10" s="56"/>
      <c r="BF10" s="56"/>
      <c r="BG10" s="56"/>
      <c r="BH10" s="56"/>
      <c r="BI10" s="56"/>
      <c r="BJ10" s="56"/>
      <c r="BK10" s="56"/>
      <c r="BL10" s="56"/>
      <c r="BT10" s="56"/>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row>
  </sheetData>
  <sheetProtection formatCells="0" formatColumns="0" formatRows="0" insertHyperlinks="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DT"/>
  <dimension ref="A1:BA62"/>
  <sheetViews>
    <sheetView showGridLines="0" showRowColHeaders="0" zoomScaleNormal="100" workbookViewId="0">
      <selection activeCell="N1" sqref="N1:XFD1048576"/>
    </sheetView>
  </sheetViews>
  <sheetFormatPr defaultColWidth="0" defaultRowHeight="14.4" x14ac:dyDescent="0.3"/>
  <cols>
    <col min="1" max="1" width="1" style="98" customWidth="1"/>
    <col min="2" max="6" width="15.6640625" customWidth="1"/>
    <col min="7" max="7" width="15.6640625" style="98" customWidth="1"/>
    <col min="8" max="13" width="15.6640625" customWidth="1"/>
    <col min="14" max="15" width="15.6640625" hidden="1" customWidth="1"/>
    <col min="16" max="16" width="6.109375" hidden="1" customWidth="1"/>
    <col min="17" max="17" width="10.33203125" hidden="1" customWidth="1"/>
    <col min="18" max="18" width="10.6640625" hidden="1" customWidth="1"/>
    <col min="19" max="19" width="6" hidden="1" customWidth="1"/>
    <col min="20" max="20" width="9.6640625" hidden="1" customWidth="1"/>
    <col min="21" max="21" width="11.33203125" hidden="1" customWidth="1"/>
    <col min="22" max="22" width="11.88671875" hidden="1" customWidth="1"/>
    <col min="23" max="23" width="10.109375" hidden="1" customWidth="1"/>
    <col min="24" max="24" width="9.6640625" hidden="1" customWidth="1"/>
    <col min="25" max="25" width="10.109375" hidden="1" customWidth="1"/>
    <col min="26" max="26" width="6" hidden="1" customWidth="1"/>
    <col min="27" max="27" width="10.44140625" hidden="1" customWidth="1"/>
    <col min="28" max="28" width="9.6640625" hidden="1" customWidth="1"/>
    <col min="29" max="30" width="6.109375" hidden="1" customWidth="1"/>
    <col min="31" max="16384" width="6" hidden="1"/>
  </cols>
  <sheetData>
    <row r="1" spans="1:53" s="2" customFormat="1" ht="11.25" customHeight="1" x14ac:dyDescent="0.3">
      <c r="A1" s="117"/>
      <c r="B1" s="117"/>
      <c r="C1" s="92"/>
      <c r="D1" s="92"/>
      <c r="E1" s="92"/>
      <c r="F1" s="92"/>
      <c r="G1" s="92"/>
      <c r="H1" s="92"/>
      <c r="I1" s="111"/>
      <c r="J1" s="111"/>
      <c r="K1" s="111"/>
      <c r="L1" s="111"/>
      <c r="M1" s="111"/>
      <c r="N1" s="111"/>
      <c r="O1" s="111"/>
      <c r="P1" s="118" t="s">
        <v>196</v>
      </c>
      <c r="Q1" s="118" t="s">
        <v>197</v>
      </c>
      <c r="R1" s="118" t="s">
        <v>198</v>
      </c>
      <c r="S1" s="118" t="s">
        <v>9</v>
      </c>
      <c r="T1" s="118" t="s">
        <v>199</v>
      </c>
      <c r="U1" s="118" t="s">
        <v>224</v>
      </c>
      <c r="V1" s="118" t="s">
        <v>201</v>
      </c>
      <c r="W1" s="118" t="s">
        <v>201</v>
      </c>
      <c r="X1" s="118" t="s">
        <v>200</v>
      </c>
      <c r="Y1" s="118" t="s">
        <v>202</v>
      </c>
      <c r="Z1" s="118" t="s">
        <v>203</v>
      </c>
      <c r="AA1" s="118" t="s">
        <v>204</v>
      </c>
      <c r="AB1" s="118" t="s">
        <v>205</v>
      </c>
      <c r="AC1" s="118" t="s">
        <v>3</v>
      </c>
      <c r="AD1" s="118" t="s">
        <v>206</v>
      </c>
      <c r="AE1" s="118" t="s">
        <v>207</v>
      </c>
      <c r="AF1" s="118" t="s">
        <v>208</v>
      </c>
      <c r="AG1" s="118" t="s">
        <v>209</v>
      </c>
      <c r="AH1" s="118"/>
      <c r="AI1" s="118"/>
      <c r="AJ1" s="118"/>
      <c r="AK1" s="118"/>
      <c r="AL1" s="118"/>
      <c r="AM1" s="118"/>
      <c r="AN1" s="118"/>
      <c r="AO1" s="118"/>
      <c r="AP1" s="118"/>
      <c r="AQ1" s="118"/>
      <c r="AR1" s="118"/>
      <c r="AS1" s="118" t="s">
        <v>238</v>
      </c>
      <c r="AT1" s="118" t="s">
        <v>239</v>
      </c>
      <c r="AU1" s="118"/>
      <c r="AV1" s="118"/>
      <c r="AW1" s="118"/>
      <c r="AX1" s="118" t="s">
        <v>214</v>
      </c>
      <c r="AY1" s="118" t="s">
        <v>221</v>
      </c>
      <c r="AZ1" s="118" t="s">
        <v>222</v>
      </c>
    </row>
    <row r="2" spans="1:53" s="2" customFormat="1" ht="20.399999999999999" thickBot="1" x14ac:dyDescent="0.45">
      <c r="A2" s="108"/>
      <c r="B2" s="270"/>
      <c r="C2" s="270"/>
      <c r="D2" s="270"/>
      <c r="E2" s="270"/>
      <c r="F2" s="107"/>
      <c r="G2" s="107"/>
      <c r="H2" s="108"/>
      <c r="I2" s="109"/>
      <c r="J2" s="109"/>
      <c r="K2" s="109"/>
      <c r="L2" s="109"/>
      <c r="M2" s="110"/>
      <c r="N2" s="110"/>
      <c r="O2" s="109"/>
      <c r="P2" s="118" t="s">
        <v>194</v>
      </c>
      <c r="Q2" s="118" t="s">
        <v>210</v>
      </c>
      <c r="R2" s="118" t="s">
        <v>210</v>
      </c>
      <c r="S2" s="118"/>
      <c r="T2" s="118">
        <v>0.5</v>
      </c>
      <c r="U2" s="119">
        <v>1000</v>
      </c>
      <c r="V2" s="119">
        <v>2000</v>
      </c>
      <c r="W2" s="119">
        <v>200</v>
      </c>
      <c r="X2" s="119">
        <v>100</v>
      </c>
      <c r="Y2" s="119">
        <v>500</v>
      </c>
      <c r="Z2" s="118" t="s">
        <v>8</v>
      </c>
      <c r="AA2" s="120">
        <v>44398</v>
      </c>
      <c r="AB2" s="120">
        <v>44411</v>
      </c>
      <c r="AC2" s="118">
        <v>5</v>
      </c>
      <c r="AD2" s="118">
        <v>0</v>
      </c>
      <c r="AE2" s="118">
        <v>0</v>
      </c>
      <c r="AF2" s="118">
        <v>5</v>
      </c>
      <c r="AG2" s="118">
        <v>0</v>
      </c>
      <c r="AH2" s="118"/>
      <c r="AI2" s="118"/>
      <c r="AJ2" s="118"/>
      <c r="AK2" s="118"/>
      <c r="AL2" s="118"/>
      <c r="AM2" s="118"/>
      <c r="AN2" s="118"/>
      <c r="AO2" s="118"/>
      <c r="AP2" s="118"/>
      <c r="AQ2" s="118"/>
      <c r="AR2" s="118"/>
      <c r="AS2" s="118" t="str">
        <f>$Z$2&amp;" "&amp;$U$2</f>
        <v>$ 1000</v>
      </c>
      <c r="AT2" s="118" t="str">
        <f>$Z$2&amp;" "&amp;$Y$2</f>
        <v>$ 500</v>
      </c>
      <c r="AU2" s="118"/>
      <c r="AV2" s="118" t="str">
        <f>IF($AX$2=0,"Planned",IF($AX$2=1,"Completed","In-Progress"))</f>
        <v>In-Progress</v>
      </c>
      <c r="AW2" s="118"/>
      <c r="AX2" s="121">
        <f>T2</f>
        <v>0.5</v>
      </c>
      <c r="AY2" s="121">
        <f>1-AX2</f>
        <v>0.5</v>
      </c>
      <c r="AZ2" s="122">
        <f>IFERROR((Y2-U2)/U2,0)</f>
        <v>-0.5</v>
      </c>
      <c r="BA2" s="114" t="str">
        <f>IF(AZ2&gt;0,TEXT(AZ2,"##%") &amp; " Over Target","")</f>
        <v/>
      </c>
    </row>
    <row r="3" spans="1:53" s="2" customFormat="1" ht="15" customHeight="1" thickTop="1" x14ac:dyDescent="0.3">
      <c r="A3" s="124"/>
      <c r="B3" s="272" t="s">
        <v>11</v>
      </c>
      <c r="C3" s="272"/>
      <c r="D3" s="272"/>
      <c r="E3" s="272"/>
      <c r="F3"/>
      <c r="G3" s="98"/>
      <c r="H3"/>
      <c r="P3" s="118">
        <v>0</v>
      </c>
      <c r="Q3" s="118" t="s">
        <v>211</v>
      </c>
      <c r="R3" s="118" t="s">
        <v>211</v>
      </c>
      <c r="S3" s="118"/>
      <c r="T3" s="118">
        <v>0</v>
      </c>
      <c r="U3" s="119">
        <v>1000</v>
      </c>
      <c r="V3" s="119">
        <v>2000</v>
      </c>
      <c r="W3" s="119">
        <v>200</v>
      </c>
      <c r="X3" s="119">
        <v>100</v>
      </c>
      <c r="Y3" s="119">
        <v>300</v>
      </c>
      <c r="Z3" s="118" t="s">
        <v>8</v>
      </c>
      <c r="AA3" s="120">
        <v>44398</v>
      </c>
      <c r="AB3" s="120">
        <v>44411</v>
      </c>
      <c r="AC3" s="118">
        <v>5</v>
      </c>
      <c r="AD3" s="118">
        <v>0</v>
      </c>
      <c r="AE3" s="118">
        <v>0</v>
      </c>
      <c r="AF3" s="118">
        <v>5</v>
      </c>
      <c r="AG3" s="118">
        <v>0</v>
      </c>
      <c r="AH3" s="118"/>
      <c r="AI3" s="118"/>
      <c r="AJ3" s="118"/>
      <c r="AK3" s="118"/>
      <c r="AL3" s="118"/>
      <c r="AM3" s="118"/>
      <c r="AN3" s="118"/>
      <c r="AO3" s="118"/>
      <c r="AP3" s="118"/>
      <c r="AQ3" s="118"/>
      <c r="AR3" s="118"/>
      <c r="AS3" s="118"/>
      <c r="AT3" s="118"/>
      <c r="AU3" s="118"/>
      <c r="AV3" s="118"/>
      <c r="AW3" s="118"/>
      <c r="AX3" s="118"/>
      <c r="AY3" s="118"/>
      <c r="AZ3" s="118"/>
    </row>
    <row r="4" spans="1:53" s="2" customFormat="1" ht="15" customHeight="1" x14ac:dyDescent="0.3">
      <c r="A4" s="98"/>
      <c r="B4"/>
      <c r="C4"/>
      <c r="D4" s="101" t="s">
        <v>10</v>
      </c>
      <c r="E4" s="102" t="str">
        <f>AV2</f>
        <v>In-Progress</v>
      </c>
      <c r="F4" s="6"/>
      <c r="G4" s="98"/>
      <c r="H4"/>
      <c r="P4" s="118">
        <v>1</v>
      </c>
      <c r="Q4" s="118" t="s">
        <v>212</v>
      </c>
      <c r="R4" s="118" t="s">
        <v>195</v>
      </c>
      <c r="S4" s="118" t="s">
        <v>213</v>
      </c>
      <c r="T4" s="118">
        <v>0</v>
      </c>
      <c r="U4" s="119">
        <v>1000</v>
      </c>
      <c r="V4" s="119">
        <v>2000</v>
      </c>
      <c r="W4" s="119">
        <v>200</v>
      </c>
      <c r="X4" s="119">
        <v>100</v>
      </c>
      <c r="Y4" s="119">
        <v>300</v>
      </c>
      <c r="Z4" s="118" t="s">
        <v>8</v>
      </c>
      <c r="AA4" s="120">
        <v>44398</v>
      </c>
      <c r="AB4" s="120">
        <v>44411</v>
      </c>
      <c r="AC4" s="118">
        <v>5</v>
      </c>
      <c r="AD4" s="118">
        <v>0</v>
      </c>
      <c r="AE4" s="118">
        <v>0</v>
      </c>
      <c r="AF4" s="118">
        <v>5</v>
      </c>
      <c r="AG4" s="118">
        <v>0</v>
      </c>
      <c r="AH4" s="118"/>
      <c r="AI4" s="118"/>
      <c r="AJ4" s="118"/>
      <c r="AK4" s="118"/>
      <c r="AL4" s="118"/>
      <c r="AM4" s="118"/>
      <c r="AN4" s="118"/>
      <c r="AO4" s="118"/>
      <c r="AP4" s="118"/>
      <c r="AQ4" s="118"/>
      <c r="AR4" s="118"/>
      <c r="AS4" s="118"/>
      <c r="AT4" s="118"/>
      <c r="AU4" s="118"/>
      <c r="AV4" s="118"/>
      <c r="AW4" s="118"/>
      <c r="AX4" s="118"/>
      <c r="AY4" s="118"/>
      <c r="AZ4" s="118"/>
    </row>
    <row r="5" spans="1:53" s="2" customFormat="1" ht="15" customHeight="1" x14ac:dyDescent="0.3">
      <c r="A5" s="98"/>
      <c r="B5"/>
      <c r="C5"/>
      <c r="D5" s="103" t="s">
        <v>9</v>
      </c>
      <c r="E5" s="102" t="str">
        <f>IF(S2 = "","",S2)</f>
        <v/>
      </c>
      <c r="F5" s="6"/>
      <c r="G5" s="98"/>
      <c r="H5"/>
    </row>
    <row r="6" spans="1:53" s="2" customFormat="1" ht="15" customHeight="1" x14ac:dyDescent="0.3">
      <c r="A6" s="98"/>
      <c r="B6"/>
      <c r="C6"/>
      <c r="D6" s="103" t="s">
        <v>7</v>
      </c>
      <c r="E6" s="104">
        <f>AA2</f>
        <v>44398</v>
      </c>
      <c r="F6" s="5"/>
      <c r="G6" s="98"/>
      <c r="H6"/>
      <c r="J6" s="13"/>
      <c r="K6" s="13"/>
      <c r="L6" s="13"/>
      <c r="M6" s="13"/>
      <c r="N6" s="13"/>
      <c r="O6" s="13"/>
    </row>
    <row r="7" spans="1:53" s="2" customFormat="1" ht="15" customHeight="1" x14ac:dyDescent="0.3">
      <c r="A7" s="98"/>
      <c r="B7"/>
      <c r="C7"/>
      <c r="D7" s="103" t="s">
        <v>5</v>
      </c>
      <c r="E7" s="104">
        <f>AB2</f>
        <v>44411</v>
      </c>
      <c r="F7" s="5"/>
      <c r="G7" s="98"/>
      <c r="H7"/>
      <c r="J7" s="13"/>
      <c r="K7" s="13"/>
      <c r="L7" s="13"/>
      <c r="M7" s="13"/>
      <c r="N7" s="13"/>
      <c r="O7" s="13"/>
    </row>
    <row r="8" spans="1:53" s="2" customFormat="1" ht="15" customHeight="1" x14ac:dyDescent="0.3">
      <c r="A8" s="98"/>
      <c r="B8"/>
      <c r="C8"/>
      <c r="D8" s="115"/>
      <c r="E8" s="116"/>
      <c r="F8" s="4"/>
      <c r="G8" s="98"/>
      <c r="H8"/>
      <c r="J8" s="13"/>
      <c r="K8" s="13"/>
      <c r="L8" s="13"/>
      <c r="M8" s="13"/>
      <c r="N8" s="13"/>
      <c r="O8" s="13"/>
    </row>
    <row r="9" spans="1:53" s="2" customFormat="1" ht="15" customHeight="1" x14ac:dyDescent="0.3">
      <c r="A9" s="98"/>
      <c r="B9" s="267"/>
      <c r="C9" s="268"/>
      <c r="D9" s="101" t="s">
        <v>3</v>
      </c>
      <c r="E9" s="105">
        <f>AC2</f>
        <v>5</v>
      </c>
      <c r="F9" s="4"/>
      <c r="G9" s="98"/>
      <c r="H9"/>
    </row>
    <row r="10" spans="1:53" s="2" customFormat="1" ht="15" customHeight="1" x14ac:dyDescent="0.3">
      <c r="A10" s="98"/>
      <c r="B10"/>
      <c r="C10"/>
      <c r="D10" s="103" t="s">
        <v>56</v>
      </c>
      <c r="E10" s="105">
        <f>AD2</f>
        <v>0</v>
      </c>
      <c r="F10" s="4"/>
      <c r="G10" s="98"/>
      <c r="H10"/>
    </row>
    <row r="11" spans="1:53" s="2" customFormat="1" ht="15" customHeight="1" x14ac:dyDescent="0.3">
      <c r="A11" s="98"/>
      <c r="B11"/>
      <c r="C11"/>
      <c r="D11" s="103" t="s">
        <v>57</v>
      </c>
      <c r="E11" s="105">
        <f>AE2</f>
        <v>0</v>
      </c>
      <c r="F11" s="4"/>
      <c r="G11" s="98"/>
      <c r="H11"/>
    </row>
    <row r="12" spans="1:53" s="2" customFormat="1" ht="15" customHeight="1" x14ac:dyDescent="0.3">
      <c r="A12" s="98"/>
      <c r="B12"/>
      <c r="C12"/>
      <c r="D12" s="103" t="s">
        <v>58</v>
      </c>
      <c r="E12" s="105">
        <f>AF2</f>
        <v>5</v>
      </c>
      <c r="F12" s="3"/>
      <c r="G12" s="98"/>
      <c r="H12"/>
    </row>
    <row r="13" spans="1:53" s="2" customFormat="1" ht="15" customHeight="1" x14ac:dyDescent="0.3">
      <c r="A13" s="98"/>
      <c r="B13" s="97"/>
      <c r="C13" s="97"/>
      <c r="D13" s="103" t="s">
        <v>59</v>
      </c>
      <c r="E13" s="106">
        <f>AG2</f>
        <v>0</v>
      </c>
      <c r="F13" s="3"/>
      <c r="G13" s="98"/>
      <c r="H13" s="97"/>
    </row>
    <row r="14" spans="1:53" s="2" customFormat="1" ht="15" customHeight="1" x14ac:dyDescent="0.3">
      <c r="A14" s="98"/>
      <c r="B14" s="97"/>
      <c r="C14" s="97"/>
      <c r="D14" s="100"/>
      <c r="E14" s="99"/>
      <c r="F14" s="3"/>
      <c r="G14" s="98"/>
      <c r="H14" s="97"/>
    </row>
    <row r="15" spans="1:53" s="2" customFormat="1" ht="15.6" x14ac:dyDescent="0.3">
      <c r="A15" s="98"/>
      <c r="B15" s="271"/>
      <c r="C15" s="271"/>
      <c r="D15" s="271"/>
      <c r="E15" s="271"/>
      <c r="F15" s="113"/>
      <c r="G15" s="98"/>
      <c r="H15"/>
    </row>
    <row r="16" spans="1:53" s="7" customFormat="1" ht="15" customHeight="1" x14ac:dyDescent="0.3">
      <c r="A16" s="98"/>
      <c r="B16" s="1"/>
      <c r="C16" s="1"/>
      <c r="D16" s="125"/>
      <c r="E16" s="125"/>
      <c r="F16" s="1"/>
      <c r="G16" s="98"/>
      <c r="H16" s="1"/>
    </row>
    <row r="17" spans="1:8" s="2" customFormat="1" x14ac:dyDescent="0.3">
      <c r="A17" s="98"/>
      <c r="B17"/>
      <c r="C17"/>
      <c r="D17" s="1"/>
      <c r="E17" s="1"/>
      <c r="F17"/>
      <c r="G17" s="98"/>
      <c r="H17"/>
    </row>
    <row r="18" spans="1:8" s="2" customFormat="1" ht="15" customHeight="1" x14ac:dyDescent="0.3">
      <c r="A18" s="98"/>
      <c r="B18"/>
      <c r="C18"/>
      <c r="D18" s="269" t="str">
        <f>BA2</f>
        <v/>
      </c>
      <c r="E18" s="269"/>
      <c r="F18"/>
      <c r="G18" s="98"/>
      <c r="H18"/>
    </row>
    <row r="19" spans="1:8" s="2" customFormat="1" ht="15" customHeight="1" x14ac:dyDescent="0.3">
      <c r="A19" s="98"/>
      <c r="B19"/>
      <c r="C19"/>
      <c r="D19"/>
      <c r="E19"/>
      <c r="F19"/>
      <c r="G19" s="98"/>
      <c r="H19"/>
    </row>
    <row r="20" spans="1:8" s="2" customFormat="1" ht="15" customHeight="1" x14ac:dyDescent="0.3">
      <c r="A20" s="98"/>
      <c r="B20" s="266"/>
      <c r="C20" s="266"/>
      <c r="D20"/>
      <c r="E20"/>
      <c r="F20"/>
      <c r="G20" s="98"/>
      <c r="H20"/>
    </row>
    <row r="21" spans="1:8" s="2" customFormat="1" ht="15" customHeight="1" x14ac:dyDescent="0.3">
      <c r="A21" s="98"/>
      <c r="B21"/>
      <c r="C21"/>
      <c r="D21" s="8"/>
      <c r="E21"/>
      <c r="F21"/>
      <c r="G21" s="98"/>
      <c r="H21"/>
    </row>
    <row r="22" spans="1:8" s="2" customFormat="1" ht="15" customHeight="1" x14ac:dyDescent="0.3">
      <c r="A22" s="98"/>
      <c r="B22"/>
      <c r="C22"/>
      <c r="D22"/>
      <c r="E22"/>
      <c r="F22"/>
      <c r="G22" s="98"/>
      <c r="H22"/>
    </row>
    <row r="23" spans="1:8" s="2" customFormat="1" ht="15" customHeight="1" x14ac:dyDescent="0.3">
      <c r="A23" s="98"/>
      <c r="B23"/>
      <c r="C23"/>
      <c r="D23"/>
      <c r="E23"/>
      <c r="F23"/>
      <c r="G23" s="98"/>
      <c r="H23"/>
    </row>
    <row r="24" spans="1:8" s="2" customFormat="1" ht="15" customHeight="1" x14ac:dyDescent="0.3">
      <c r="A24" s="98"/>
      <c r="B24"/>
      <c r="C24"/>
      <c r="D24"/>
      <c r="E24"/>
      <c r="F24"/>
      <c r="G24" s="98"/>
      <c r="H24"/>
    </row>
    <row r="25" spans="1:8" s="2" customFormat="1" ht="15" customHeight="1" x14ac:dyDescent="0.3">
      <c r="A25" s="98"/>
      <c r="B25"/>
      <c r="C25"/>
      <c r="D25"/>
      <c r="E25"/>
      <c r="F25"/>
      <c r="G25" s="98"/>
      <c r="H25"/>
    </row>
    <row r="26" spans="1:8" s="7" customFormat="1" ht="15" customHeight="1" x14ac:dyDescent="0.3">
      <c r="A26" s="98"/>
      <c r="B26"/>
      <c r="C26"/>
      <c r="D26"/>
      <c r="E26"/>
      <c r="F26"/>
      <c r="G26" s="98"/>
      <c r="H26"/>
    </row>
    <row r="27" spans="1:8" s="2" customFormat="1" ht="15" customHeight="1" x14ac:dyDescent="0.3">
      <c r="A27" s="98"/>
      <c r="B27" s="1"/>
      <c r="C27" s="1"/>
      <c r="D27"/>
      <c r="E27"/>
      <c r="F27" s="1"/>
      <c r="G27" s="98"/>
      <c r="H27" s="1"/>
    </row>
    <row r="28" spans="1:8" s="2" customFormat="1" ht="15" customHeight="1" x14ac:dyDescent="0.3">
      <c r="A28" s="98"/>
      <c r="B28"/>
      <c r="C28"/>
      <c r="D28" s="1"/>
      <c r="E28" s="1"/>
      <c r="F28"/>
      <c r="G28" s="98"/>
      <c r="H28"/>
    </row>
    <row r="29" spans="1:8" s="2" customFormat="1" ht="15" customHeight="1" x14ac:dyDescent="0.3">
      <c r="A29" s="98"/>
      <c r="B29"/>
      <c r="C29"/>
      <c r="D29"/>
      <c r="E29"/>
      <c r="F29"/>
      <c r="G29" s="98"/>
      <c r="H29"/>
    </row>
    <row r="30" spans="1:8" s="2" customFormat="1" ht="15" customHeight="1" x14ac:dyDescent="0.3">
      <c r="A30" s="98"/>
      <c r="B30"/>
      <c r="C30"/>
      <c r="D30"/>
      <c r="E30"/>
      <c r="F30"/>
      <c r="G30" s="98"/>
      <c r="H30"/>
    </row>
    <row r="31" spans="1:8" s="2" customFormat="1" ht="15" customHeight="1" x14ac:dyDescent="0.3">
      <c r="A31" s="98"/>
      <c r="B31"/>
      <c r="C31"/>
      <c r="D31"/>
      <c r="E31"/>
      <c r="F31"/>
      <c r="G31" s="98"/>
      <c r="H31"/>
    </row>
    <row r="32" spans="1:8" s="2" customFormat="1" ht="15" customHeight="1" x14ac:dyDescent="0.3">
      <c r="A32" s="98"/>
      <c r="B32"/>
      <c r="C32"/>
      <c r="D32"/>
      <c r="E32"/>
      <c r="F32"/>
      <c r="G32" s="98"/>
      <c r="H32"/>
    </row>
    <row r="33" spans="1:8" s="2" customFormat="1" ht="15" customHeight="1" x14ac:dyDescent="0.3">
      <c r="A33" s="98"/>
      <c r="B33" s="91"/>
      <c r="C33" s="91"/>
      <c r="D33" s="8"/>
      <c r="E33"/>
      <c r="F33" s="91"/>
      <c r="G33" s="98"/>
      <c r="H33" s="91"/>
    </row>
    <row r="34" spans="1:8" s="2" customFormat="1" ht="15" customHeight="1" x14ac:dyDescent="0.3">
      <c r="A34" s="98"/>
      <c r="B34" s="91"/>
      <c r="C34" s="91"/>
      <c r="D34" s="91"/>
      <c r="E34" s="91"/>
      <c r="F34" s="91"/>
      <c r="G34" s="98"/>
      <c r="H34" s="91"/>
    </row>
    <row r="35" spans="1:8" s="2" customFormat="1" ht="15" customHeight="1" x14ac:dyDescent="0.3">
      <c r="A35" s="98"/>
      <c r="B35" s="93"/>
      <c r="C35" s="93"/>
      <c r="D35" s="91"/>
      <c r="E35" s="112"/>
      <c r="F35" s="93"/>
      <c r="G35" s="98"/>
      <c r="H35" s="91"/>
    </row>
    <row r="36" spans="1:8" s="2" customFormat="1" ht="15" customHeight="1" x14ac:dyDescent="0.3">
      <c r="A36" s="98"/>
      <c r="B36" s="93"/>
      <c r="C36" s="93"/>
      <c r="D36" s="93"/>
      <c r="E36" s="93"/>
      <c r="F36" s="93"/>
      <c r="G36" s="98"/>
      <c r="H36" s="91"/>
    </row>
    <row r="37" spans="1:8" s="2" customFormat="1" ht="15" customHeight="1" x14ac:dyDescent="0.3">
      <c r="A37" s="98"/>
      <c r="B37" s="93"/>
      <c r="C37" s="93"/>
      <c r="D37" s="93"/>
      <c r="E37" s="93"/>
      <c r="F37" s="93"/>
      <c r="G37" s="98"/>
      <c r="H37" s="91"/>
    </row>
    <row r="38" spans="1:8" s="2" customFormat="1" ht="15" customHeight="1" x14ac:dyDescent="0.3">
      <c r="A38" s="98"/>
      <c r="B38" s="93"/>
      <c r="C38" s="93"/>
      <c r="D38" s="93"/>
      <c r="E38" s="93"/>
      <c r="F38" s="93"/>
      <c r="G38" s="98"/>
      <c r="H38" s="91"/>
    </row>
    <row r="39" spans="1:8" s="2" customFormat="1" ht="15" customHeight="1" x14ac:dyDescent="0.3">
      <c r="A39" s="98"/>
      <c r="B39" s="93"/>
      <c r="C39" s="93"/>
      <c r="D39" s="93"/>
      <c r="E39" s="93"/>
      <c r="F39" s="93"/>
      <c r="G39" s="98"/>
      <c r="H39" s="91"/>
    </row>
    <row r="40" spans="1:8" s="2" customFormat="1" ht="15" customHeight="1" x14ac:dyDescent="0.3">
      <c r="A40" s="98"/>
      <c r="B40" s="93"/>
      <c r="C40" s="93"/>
      <c r="D40" s="93"/>
      <c r="E40" s="93"/>
      <c r="F40" s="93"/>
      <c r="G40" s="98"/>
      <c r="H40" s="91"/>
    </row>
    <row r="41" spans="1:8" s="2" customFormat="1" ht="15" customHeight="1" x14ac:dyDescent="0.3">
      <c r="A41" s="98"/>
      <c r="B41" s="93"/>
      <c r="C41" s="93"/>
      <c r="D41" s="93"/>
      <c r="E41" s="93"/>
      <c r="F41" s="93"/>
      <c r="G41" s="98"/>
      <c r="H41" s="91"/>
    </row>
    <row r="42" spans="1:8" s="2" customFormat="1" ht="15" customHeight="1" x14ac:dyDescent="0.3">
      <c r="A42" s="98"/>
      <c r="B42"/>
      <c r="C42"/>
      <c r="D42" s="93"/>
      <c r="E42" s="93"/>
      <c r="F42"/>
      <c r="G42" s="98"/>
      <c r="H42"/>
    </row>
    <row r="43" spans="1:8" s="2" customFormat="1" ht="15" customHeight="1" x14ac:dyDescent="0.3">
      <c r="A43" s="98"/>
      <c r="B43" s="1"/>
      <c r="C43" s="1"/>
      <c r="D43"/>
      <c r="E43"/>
      <c r="F43" s="1"/>
      <c r="G43" s="98"/>
      <c r="H43"/>
    </row>
    <row r="44" spans="1:8" s="2" customFormat="1" ht="15" customHeight="1" x14ac:dyDescent="0.3">
      <c r="A44" s="98"/>
      <c r="B44" s="1"/>
      <c r="C44" s="1"/>
      <c r="D44" s="1"/>
      <c r="E44" s="1"/>
      <c r="F44" s="1"/>
      <c r="G44" s="98"/>
      <c r="H44"/>
    </row>
    <row r="45" spans="1:8" ht="15" customHeight="1" x14ac:dyDescent="0.3">
      <c r="D45" s="1"/>
      <c r="E45" s="1"/>
    </row>
    <row r="46" spans="1:8" ht="15" customHeight="1" x14ac:dyDescent="0.3"/>
    <row r="47" spans="1:8" ht="15" customHeight="1" x14ac:dyDescent="0.3"/>
    <row r="48" spans="1: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144780</xdr:colOff>
                    <xdr:row>1</xdr:row>
                    <xdr:rowOff>22860</xdr:rowOff>
                  </from>
                  <to>
                    <xdr:col>5</xdr:col>
                    <xdr:colOff>678180</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VS"/>
  <dimension ref="A1:BU10"/>
  <sheetViews>
    <sheetView workbookViewId="0">
      <selection activeCell="B93" sqref="B93"/>
    </sheetView>
  </sheetViews>
  <sheetFormatPr defaultRowHeight="14.4" x14ac:dyDescent="0.3"/>
  <cols>
    <col min="1" max="1" width="13.109375" bestFit="1" customWidth="1"/>
    <col min="2" max="2" width="11.5546875" bestFit="1" customWidth="1"/>
    <col min="6" max="8" width="9.109375" style="128"/>
    <col min="10" max="11" width="13.109375" bestFit="1" customWidth="1"/>
    <col min="12" max="12" width="11.5546875" bestFit="1" customWidth="1"/>
    <col min="13" max="13" width="8.6640625" bestFit="1" customWidth="1"/>
    <col min="14" max="14" width="8.33203125" bestFit="1" customWidth="1"/>
    <col min="15" max="17" width="8.33203125" style="128" customWidth="1"/>
    <col min="18" max="18" width="11.33203125" bestFit="1" customWidth="1"/>
    <col min="21" max="21" width="14.33203125" bestFit="1" customWidth="1"/>
    <col min="22" max="22" width="7.109375" bestFit="1" customWidth="1"/>
    <col min="23" max="23" width="11" bestFit="1" customWidth="1"/>
    <col min="24" max="26" width="11" style="128" customWidth="1"/>
    <col min="27" max="27" width="11" bestFit="1" customWidth="1"/>
    <col min="31" max="31" width="12" bestFit="1" customWidth="1"/>
    <col min="32" max="32" width="17.88671875" bestFit="1" customWidth="1"/>
    <col min="33" max="33" width="31.33203125" bestFit="1" customWidth="1"/>
    <col min="34" max="35" width="31.33203125" style="128" customWidth="1"/>
    <col min="36" max="36" width="31.33203125" bestFit="1" customWidth="1"/>
    <col min="37" max="37" width="33.109375" bestFit="1" customWidth="1"/>
    <col min="38" max="39" width="36.33203125" style="127" bestFit="1" customWidth="1"/>
    <col min="40" max="40" width="14.33203125" bestFit="1" customWidth="1"/>
    <col min="41" max="41" width="22.33203125" bestFit="1" customWidth="1"/>
    <col min="42" max="42" width="13.109375" bestFit="1" customWidth="1"/>
    <col min="43" max="43" width="11.5546875" bestFit="1" customWidth="1"/>
    <col min="47" max="49" width="9.109375" style="128"/>
    <col min="53" max="53" width="13.109375" bestFit="1" customWidth="1"/>
    <col min="54" max="54" width="7.109375" bestFit="1" customWidth="1"/>
    <col min="57" max="59" width="9.109375" style="128"/>
    <col min="63" max="63" width="12" bestFit="1" customWidth="1"/>
    <col min="64" max="64" width="7.109375" bestFit="1" customWidth="1"/>
    <col min="66" max="70" width="9.109375" style="128"/>
    <col min="72" max="72" width="12" bestFit="1" customWidth="1"/>
    <col min="73" max="73" width="7.109375" bestFit="1" customWidth="1"/>
    <col min="76" max="76" width="12" bestFit="1" customWidth="1"/>
    <col min="77" max="77" width="17.88671875" bestFit="1" customWidth="1"/>
    <col min="81" max="81" width="12" bestFit="1" customWidth="1"/>
    <col min="82" max="82" width="17.88671875" bestFit="1" customWidth="1"/>
  </cols>
  <sheetData>
    <row r="1" spans="1:73" x14ac:dyDescent="0.3">
      <c r="A1" s="94" t="s">
        <v>215</v>
      </c>
      <c r="B1" s="130" t="s">
        <v>241</v>
      </c>
      <c r="K1" s="94" t="s">
        <v>215</v>
      </c>
      <c r="L1" s="130" t="s">
        <v>241</v>
      </c>
      <c r="U1" s="94" t="s">
        <v>215</v>
      </c>
      <c r="V1" s="130" t="s">
        <v>241</v>
      </c>
      <c r="AE1" s="94" t="s">
        <v>215</v>
      </c>
      <c r="AF1" s="130" t="s">
        <v>241</v>
      </c>
      <c r="AP1" s="94" t="s">
        <v>215</v>
      </c>
      <c r="AQ1" s="130" t="s">
        <v>241</v>
      </c>
      <c r="BA1" s="94" t="s">
        <v>215</v>
      </c>
      <c r="BB1" s="130" t="s">
        <v>241</v>
      </c>
      <c r="BK1" s="94" t="s">
        <v>215</v>
      </c>
      <c r="BL1" s="130" t="s">
        <v>241</v>
      </c>
      <c r="BT1" s="94" t="s">
        <v>215</v>
      </c>
      <c r="BU1" s="130" t="s">
        <v>241</v>
      </c>
    </row>
    <row r="2" spans="1:73" x14ac:dyDescent="0.3">
      <c r="A2" s="94" t="s">
        <v>171</v>
      </c>
      <c r="B2" s="130" t="s">
        <v>241</v>
      </c>
      <c r="K2" s="94" t="s">
        <v>171</v>
      </c>
      <c r="L2" s="130" t="s">
        <v>241</v>
      </c>
      <c r="U2" s="94" t="s">
        <v>171</v>
      </c>
      <c r="V2" s="130" t="s">
        <v>241</v>
      </c>
      <c r="AE2" s="94" t="s">
        <v>234</v>
      </c>
      <c r="AF2" s="130" t="s">
        <v>219</v>
      </c>
      <c r="AP2" s="94" t="s">
        <v>171</v>
      </c>
      <c r="AQ2" s="130" t="s">
        <v>241</v>
      </c>
      <c r="BA2" s="94" t="s">
        <v>171</v>
      </c>
      <c r="BB2" s="130" t="s">
        <v>241</v>
      </c>
      <c r="BK2" s="94" t="s">
        <v>171</v>
      </c>
      <c r="BL2" s="130" t="s">
        <v>241</v>
      </c>
      <c r="BT2" s="94" t="s">
        <v>171</v>
      </c>
      <c r="BU2" s="130" t="s">
        <v>241</v>
      </c>
    </row>
    <row r="3" spans="1:73" x14ac:dyDescent="0.3">
      <c r="AP3" s="123"/>
      <c r="AQ3" s="123"/>
      <c r="BA3" s="127"/>
      <c r="BB3" s="127"/>
    </row>
    <row r="4" spans="1:73" x14ac:dyDescent="0.3">
      <c r="A4" s="94" t="s">
        <v>216</v>
      </c>
      <c r="B4" t="s">
        <v>217</v>
      </c>
      <c r="K4" s="94" t="s">
        <v>216</v>
      </c>
      <c r="L4" t="s">
        <v>217</v>
      </c>
      <c r="U4" s="94" t="s">
        <v>218</v>
      </c>
      <c r="AL4"/>
      <c r="AM4"/>
      <c r="AP4" s="94" t="s">
        <v>216</v>
      </c>
      <c r="AQ4" t="s">
        <v>217</v>
      </c>
      <c r="BA4" s="94" t="s">
        <v>216</v>
      </c>
    </row>
    <row r="5" spans="1:73" x14ac:dyDescent="0.3">
      <c r="A5" s="96" t="s">
        <v>56</v>
      </c>
      <c r="B5" s="95">
        <v>1</v>
      </c>
      <c r="K5" s="96" t="s">
        <v>237</v>
      </c>
      <c r="L5" s="95">
        <v>1</v>
      </c>
      <c r="U5" s="96" t="s">
        <v>192</v>
      </c>
      <c r="V5" s="129"/>
      <c r="AL5"/>
      <c r="AM5"/>
      <c r="AP5" s="126" t="s">
        <v>242</v>
      </c>
      <c r="AQ5" s="95">
        <v>1</v>
      </c>
      <c r="BA5" s="96" t="s">
        <v>235</v>
      </c>
    </row>
    <row r="6" spans="1:73" x14ac:dyDescent="0.3">
      <c r="A6" s="96" t="s">
        <v>244</v>
      </c>
      <c r="B6" s="95">
        <v>1</v>
      </c>
      <c r="K6" s="96" t="s">
        <v>236</v>
      </c>
      <c r="L6" s="95">
        <v>1</v>
      </c>
      <c r="U6" s="96" t="s">
        <v>220</v>
      </c>
      <c r="V6" s="129"/>
      <c r="AL6"/>
      <c r="AM6"/>
      <c r="AP6" s="126" t="s">
        <v>240</v>
      </c>
      <c r="AQ6" s="95">
        <v>3</v>
      </c>
    </row>
    <row r="7" spans="1:73" x14ac:dyDescent="0.3">
      <c r="A7" s="96" t="s">
        <v>59</v>
      </c>
      <c r="B7" s="95">
        <v>1</v>
      </c>
      <c r="K7" s="96" t="s">
        <v>168</v>
      </c>
      <c r="L7" s="95">
        <v>2</v>
      </c>
      <c r="U7" s="96" t="s">
        <v>193</v>
      </c>
      <c r="V7" s="129"/>
      <c r="AL7"/>
      <c r="AM7"/>
    </row>
    <row r="8" spans="1:73" x14ac:dyDescent="0.3">
      <c r="A8" s="96" t="s">
        <v>58</v>
      </c>
      <c r="B8" s="95">
        <v>1</v>
      </c>
      <c r="AL8"/>
      <c r="AM8"/>
    </row>
    <row r="9" spans="1:73" x14ac:dyDescent="0.3">
      <c r="AL9"/>
      <c r="AM9"/>
    </row>
    <row r="10" spans="1:73" x14ac:dyDescent="0.3">
      <c r="AL10"/>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CW26"/>
  <sheetViews>
    <sheetView showGridLines="0" showRowColHeaders="0" tabSelected="1" topLeftCell="N6" zoomScaleNormal="100" workbookViewId="0">
      <selection activeCell="BW21" sqref="BW21"/>
    </sheetView>
  </sheetViews>
  <sheetFormatPr defaultColWidth="0" defaultRowHeight="14.4" x14ac:dyDescent="0.3"/>
  <cols>
    <col min="1" max="7" width="0" style="134" hidden="1" customWidth="1"/>
    <col min="8" max="9" width="2.6640625" style="134" customWidth="1"/>
    <col min="10" max="10" width="4.5546875" style="188" bestFit="1" customWidth="1"/>
    <col min="11" max="11" width="45.6640625" style="136" customWidth="1"/>
    <col min="12" max="12" width="10.6640625" style="138" customWidth="1"/>
    <col min="13" max="13" width="10.6640625" style="134" hidden="1" customWidth="1"/>
    <col min="14" max="14" width="15.6640625" style="136" customWidth="1"/>
    <col min="15" max="18" width="15.6640625" style="137" hidden="1" customWidth="1"/>
    <col min="19" max="20" width="15.6640625" style="137" customWidth="1"/>
    <col min="21" max="21" width="10.6640625" style="137" customWidth="1"/>
    <col min="22" max="22" width="15.6640625" style="134" hidden="1" customWidth="1"/>
    <col min="23" max="23" width="5.6640625" style="134" customWidth="1"/>
    <col min="24" max="24" width="10.6640625" style="135" customWidth="1"/>
    <col min="25" max="30" width="15.6640625" style="137" hidden="1" customWidth="1"/>
    <col min="31" max="31" width="15.6640625" style="139" hidden="1" customWidth="1"/>
    <col min="32" max="55" width="15.6640625" style="134" hidden="1" customWidth="1"/>
    <col min="56" max="56" width="2.6640625" style="134" customWidth="1"/>
    <col min="57" max="91" width="3.77734375" customWidth="1"/>
    <col min="92" max="101" width="10.6640625" hidden="1" customWidth="1"/>
    <col min="102" max="16384" width="10.77734375" hidden="1"/>
  </cols>
  <sheetData>
    <row r="1" spans="1:101" hidden="1" x14ac:dyDescent="0.3">
      <c r="A1" s="134" t="s">
        <v>234</v>
      </c>
      <c r="B1" s="134" t="s">
        <v>226</v>
      </c>
      <c r="C1" s="134" t="s">
        <v>227</v>
      </c>
      <c r="D1" s="134" t="s">
        <v>228</v>
      </c>
      <c r="E1" s="134" t="s">
        <v>229</v>
      </c>
      <c r="F1" s="134" t="s">
        <v>230</v>
      </c>
      <c r="G1" s="134" t="s">
        <v>160</v>
      </c>
      <c r="H1" s="134" t="s">
        <v>161</v>
      </c>
      <c r="I1" s="134" t="s">
        <v>231</v>
      </c>
      <c r="J1" s="188" t="s">
        <v>27</v>
      </c>
      <c r="K1" s="136" t="s">
        <v>26</v>
      </c>
      <c r="L1" s="138" t="s">
        <v>137</v>
      </c>
      <c r="M1" s="134" t="s">
        <v>138</v>
      </c>
      <c r="N1" s="136" t="s">
        <v>225</v>
      </c>
      <c r="O1" s="137" t="s">
        <v>232</v>
      </c>
      <c r="P1" s="137" t="s">
        <v>25</v>
      </c>
      <c r="Q1" s="137" t="s">
        <v>24</v>
      </c>
      <c r="R1" s="137" t="s">
        <v>23</v>
      </c>
      <c r="S1" s="137" t="s">
        <v>22</v>
      </c>
      <c r="T1" s="137" t="s">
        <v>20</v>
      </c>
      <c r="U1" s="137" t="s">
        <v>18</v>
      </c>
      <c r="V1" s="134" t="s">
        <v>223</v>
      </c>
      <c r="W1" s="134" t="s">
        <v>233</v>
      </c>
      <c r="X1" s="135" t="s">
        <v>17</v>
      </c>
      <c r="Y1" s="137" t="s">
        <v>21</v>
      </c>
      <c r="Z1" s="137" t="s">
        <v>19</v>
      </c>
      <c r="AA1" s="137" t="s">
        <v>16</v>
      </c>
      <c r="AB1" s="137" t="s">
        <v>15</v>
      </c>
      <c r="AC1" s="137" t="s">
        <v>14</v>
      </c>
      <c r="AD1" s="137" t="s">
        <v>13</v>
      </c>
      <c r="AE1" s="139" t="s">
        <v>12</v>
      </c>
      <c r="AF1" s="134" t="s">
        <v>162</v>
      </c>
      <c r="AG1" s="134" t="s">
        <v>163</v>
      </c>
      <c r="AH1" s="134" t="s">
        <v>164</v>
      </c>
      <c r="AI1" s="134" t="s">
        <v>165</v>
      </c>
      <c r="AJ1" s="134" t="s">
        <v>172</v>
      </c>
      <c r="AK1" s="134" t="s">
        <v>173</v>
      </c>
      <c r="AL1" s="134" t="s">
        <v>174</v>
      </c>
      <c r="AM1" s="134" t="s">
        <v>175</v>
      </c>
      <c r="AN1" s="134" t="s">
        <v>176</v>
      </c>
      <c r="AO1" s="134" t="s">
        <v>177</v>
      </c>
      <c r="AP1" s="134" t="s">
        <v>178</v>
      </c>
      <c r="AQ1" s="134" t="s">
        <v>179</v>
      </c>
      <c r="AR1" s="134" t="s">
        <v>180</v>
      </c>
      <c r="AS1" s="134" t="s">
        <v>181</v>
      </c>
      <c r="AT1" s="134" t="s">
        <v>182</v>
      </c>
      <c r="AU1" s="134" t="s">
        <v>183</v>
      </c>
      <c r="AV1" s="134" t="s">
        <v>184</v>
      </c>
      <c r="AW1" s="134" t="s">
        <v>185</v>
      </c>
      <c r="AX1" s="134" t="s">
        <v>186</v>
      </c>
      <c r="AY1" s="134" t="s">
        <v>187</v>
      </c>
      <c r="AZ1" s="134" t="s">
        <v>188</v>
      </c>
      <c r="BA1" s="134" t="s">
        <v>189</v>
      </c>
      <c r="BB1" s="134" t="s">
        <v>190</v>
      </c>
      <c r="BC1" s="134" t="s">
        <v>191</v>
      </c>
      <c r="BD1" s="134" t="s">
        <v>166</v>
      </c>
      <c r="BE1" t="s">
        <v>279</v>
      </c>
      <c r="CM1" t="s">
        <v>280</v>
      </c>
    </row>
    <row r="2" spans="1:101" hidden="1" x14ac:dyDescent="0.3">
      <c r="A2" s="134" t="s">
        <v>263</v>
      </c>
      <c r="B2" s="134" t="s">
        <v>263</v>
      </c>
      <c r="C2" s="134" t="s">
        <v>263</v>
      </c>
      <c r="D2" s="134" t="s">
        <v>263</v>
      </c>
      <c r="E2" s="134" t="s">
        <v>263</v>
      </c>
      <c r="F2" s="134" t="s">
        <v>263</v>
      </c>
      <c r="G2" s="134" t="s">
        <v>263</v>
      </c>
      <c r="H2" s="134">
        <v>1</v>
      </c>
      <c r="I2" s="134" t="s">
        <v>263</v>
      </c>
      <c r="J2" s="188" t="s">
        <v>263</v>
      </c>
      <c r="K2" s="136" t="s">
        <v>263</v>
      </c>
      <c r="L2" s="138" t="s">
        <v>263</v>
      </c>
      <c r="M2" s="134" t="s">
        <v>263</v>
      </c>
      <c r="N2" s="136" t="s">
        <v>263</v>
      </c>
      <c r="O2" s="137" t="s">
        <v>263</v>
      </c>
      <c r="P2" s="137" t="s">
        <v>263</v>
      </c>
      <c r="Q2" s="137" t="s">
        <v>263</v>
      </c>
      <c r="R2" s="137" t="s">
        <v>263</v>
      </c>
      <c r="S2" s="137" t="s">
        <v>263</v>
      </c>
      <c r="T2" s="137" t="s">
        <v>263</v>
      </c>
      <c r="U2" s="137" t="s">
        <v>263</v>
      </c>
      <c r="V2" s="134" t="s">
        <v>263</v>
      </c>
      <c r="W2" s="134" t="s">
        <v>263</v>
      </c>
      <c r="X2" s="135" t="s">
        <v>263</v>
      </c>
      <c r="Y2" s="137" t="s">
        <v>263</v>
      </c>
      <c r="Z2" s="137" t="s">
        <v>263</v>
      </c>
      <c r="AA2" s="137" t="s">
        <v>263</v>
      </c>
      <c r="AB2" s="137" t="s">
        <v>263</v>
      </c>
      <c r="AC2" s="137" t="s">
        <v>263</v>
      </c>
      <c r="AD2" s="137" t="s">
        <v>263</v>
      </c>
      <c r="AE2" s="139" t="s">
        <v>263</v>
      </c>
      <c r="AF2" s="134" t="s">
        <v>263</v>
      </c>
      <c r="AG2" s="134" t="s">
        <v>263</v>
      </c>
      <c r="AH2" s="134" t="s">
        <v>263</v>
      </c>
      <c r="AI2" s="134" t="s">
        <v>263</v>
      </c>
      <c r="AJ2" s="134" t="s">
        <v>172</v>
      </c>
      <c r="AK2" s="134" t="s">
        <v>173</v>
      </c>
      <c r="AL2" s="134" t="s">
        <v>174</v>
      </c>
      <c r="AM2" s="134" t="s">
        <v>175</v>
      </c>
      <c r="AN2" s="134" t="s">
        <v>176</v>
      </c>
      <c r="AO2" s="134" t="s">
        <v>177</v>
      </c>
      <c r="AP2" s="134" t="s">
        <v>178</v>
      </c>
      <c r="AQ2" s="134" t="s">
        <v>179</v>
      </c>
      <c r="AR2" s="134" t="s">
        <v>180</v>
      </c>
      <c r="AS2" s="134" t="s">
        <v>181</v>
      </c>
      <c r="AT2" s="134" t="s">
        <v>182</v>
      </c>
      <c r="AU2" s="134" t="s">
        <v>183</v>
      </c>
      <c r="AV2" s="134" t="s">
        <v>184</v>
      </c>
      <c r="AW2" s="134" t="s">
        <v>185</v>
      </c>
      <c r="AX2" s="134" t="s">
        <v>186</v>
      </c>
      <c r="AY2" s="134" t="s">
        <v>187</v>
      </c>
      <c r="AZ2" s="134" t="s">
        <v>188</v>
      </c>
      <c r="BA2" s="134" t="s">
        <v>189</v>
      </c>
      <c r="BB2" s="134" t="s">
        <v>190</v>
      </c>
      <c r="BC2" s="134" t="s">
        <v>191</v>
      </c>
      <c r="BD2" s="134" t="s">
        <v>263</v>
      </c>
    </row>
    <row r="3" spans="1:101" hidden="1" x14ac:dyDescent="0.3"/>
    <row r="4" spans="1:101" hidden="1" x14ac:dyDescent="0.3"/>
    <row r="5" spans="1:101" hidden="1" x14ac:dyDescent="0.3"/>
    <row r="6" spans="1:101" ht="24" customHeight="1" x14ac:dyDescent="0.3">
      <c r="H6" s="140"/>
      <c r="I6" s="140"/>
      <c r="J6" s="189" t="s">
        <v>195</v>
      </c>
      <c r="K6" s="141"/>
      <c r="L6" s="142"/>
      <c r="M6" s="140"/>
      <c r="N6" s="141"/>
      <c r="O6" s="143"/>
      <c r="P6" s="143"/>
      <c r="Q6" s="143"/>
      <c r="R6" s="143"/>
      <c r="S6" s="143"/>
      <c r="T6" s="143"/>
      <c r="U6" s="143"/>
      <c r="V6" s="140"/>
      <c r="W6" s="140"/>
      <c r="X6" s="144"/>
      <c r="Y6" s="143"/>
      <c r="Z6" s="143"/>
      <c r="AA6" s="143"/>
      <c r="AB6" s="143"/>
      <c r="AC6" s="143"/>
      <c r="AD6" s="143"/>
      <c r="AE6" s="145"/>
      <c r="AF6" s="140"/>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6">
        <v>44655</v>
      </c>
      <c r="BF6" s="146">
        <v>44656</v>
      </c>
      <c r="BG6" s="146">
        <v>44657</v>
      </c>
      <c r="BH6" s="146">
        <v>44658</v>
      </c>
      <c r="BI6" s="146">
        <v>44659</v>
      </c>
      <c r="BJ6" s="146">
        <v>44660</v>
      </c>
      <c r="BK6" s="146">
        <v>44661</v>
      </c>
      <c r="BL6" s="146">
        <v>44662</v>
      </c>
      <c r="BM6" s="146">
        <v>44663</v>
      </c>
      <c r="BN6" s="146">
        <v>44664</v>
      </c>
      <c r="BO6" s="146">
        <v>44665</v>
      </c>
      <c r="BP6" s="146">
        <v>44666</v>
      </c>
      <c r="BQ6" s="146">
        <v>44667</v>
      </c>
      <c r="BR6" s="146">
        <v>44668</v>
      </c>
      <c r="BS6" s="146">
        <v>44669</v>
      </c>
      <c r="BT6" s="146">
        <v>44670</v>
      </c>
      <c r="BU6" s="146">
        <v>44671</v>
      </c>
      <c r="BV6" s="146">
        <v>44672</v>
      </c>
      <c r="BW6" s="146">
        <v>44673</v>
      </c>
      <c r="BX6" s="146">
        <v>44674</v>
      </c>
      <c r="BY6" s="146">
        <v>44675</v>
      </c>
      <c r="BZ6" s="146">
        <v>44676</v>
      </c>
      <c r="CA6" s="146">
        <v>44677</v>
      </c>
      <c r="CB6" s="146">
        <v>44678</v>
      </c>
      <c r="CC6" s="146">
        <v>44679</v>
      </c>
      <c r="CD6" s="146">
        <v>44680</v>
      </c>
      <c r="CE6" s="146">
        <v>44681</v>
      </c>
      <c r="CF6" s="146">
        <v>44682</v>
      </c>
      <c r="CG6" s="146">
        <v>44683</v>
      </c>
      <c r="CH6" s="146">
        <v>44684</v>
      </c>
      <c r="CI6" s="146">
        <v>44685</v>
      </c>
      <c r="CJ6" s="146">
        <v>44686</v>
      </c>
      <c r="CK6" s="146">
        <v>44687</v>
      </c>
      <c r="CL6" s="146">
        <v>44688</v>
      </c>
      <c r="CM6" s="146">
        <v>44689</v>
      </c>
    </row>
    <row r="7" spans="1:101" x14ac:dyDescent="0.3">
      <c r="J7" s="190" t="s">
        <v>286</v>
      </c>
      <c r="BE7" s="147" t="s">
        <v>291</v>
      </c>
      <c r="BF7" s="147"/>
      <c r="BG7" s="147"/>
      <c r="BH7" s="147"/>
      <c r="BI7" s="147"/>
      <c r="BJ7" s="147"/>
      <c r="BK7" s="147"/>
      <c r="BL7" s="148" t="s">
        <v>292</v>
      </c>
      <c r="BM7" s="148"/>
      <c r="BN7" s="148"/>
      <c r="BO7" s="148"/>
      <c r="BP7" s="148"/>
      <c r="BQ7" s="148"/>
      <c r="BR7" s="148"/>
      <c r="BS7" s="147" t="s">
        <v>293</v>
      </c>
      <c r="BT7" s="147"/>
      <c r="BU7" s="147"/>
      <c r="BV7" s="147"/>
      <c r="BW7" s="147"/>
      <c r="BX7" s="147"/>
      <c r="BY7" s="147"/>
      <c r="BZ7" s="148" t="s">
        <v>294</v>
      </c>
      <c r="CA7" s="148"/>
      <c r="CB7" s="148"/>
      <c r="CC7" s="148"/>
      <c r="CD7" s="148"/>
      <c r="CE7" s="148"/>
      <c r="CF7" s="148"/>
      <c r="CG7" s="147" t="s">
        <v>295</v>
      </c>
      <c r="CH7" s="147"/>
      <c r="CI7" s="147"/>
      <c r="CJ7" s="147"/>
      <c r="CK7" s="147"/>
      <c r="CL7" s="147"/>
      <c r="CM7" s="147"/>
    </row>
    <row r="8" spans="1:101" x14ac:dyDescent="0.3">
      <c r="H8" s="193"/>
      <c r="I8" s="193"/>
      <c r="J8" s="194" t="s">
        <v>287</v>
      </c>
      <c r="K8" s="195"/>
      <c r="L8" s="196"/>
      <c r="M8" s="193"/>
      <c r="N8" s="195"/>
      <c r="O8" s="197"/>
      <c r="P8" s="197"/>
      <c r="Q8" s="197"/>
      <c r="R8" s="197"/>
      <c r="S8" s="197"/>
      <c r="T8" s="197"/>
      <c r="U8" s="197"/>
      <c r="V8" s="193"/>
      <c r="W8" s="193"/>
      <c r="X8" s="198"/>
      <c r="Y8" s="197"/>
      <c r="Z8" s="197"/>
      <c r="AA8" s="197"/>
      <c r="AB8" s="197"/>
      <c r="AC8" s="197"/>
      <c r="AD8" s="197"/>
      <c r="AE8" s="199"/>
      <c r="AF8" s="193"/>
      <c r="AG8" s="193"/>
      <c r="AH8" s="193"/>
      <c r="AI8" s="193"/>
      <c r="AJ8" s="193"/>
      <c r="AK8" s="193"/>
      <c r="AL8" s="193"/>
      <c r="AM8" s="193"/>
      <c r="AN8" s="193"/>
      <c r="AO8" s="193"/>
      <c r="AP8" s="193"/>
      <c r="AQ8" s="193"/>
      <c r="AR8" s="193"/>
      <c r="AS8" s="193"/>
      <c r="AT8" s="193"/>
      <c r="AU8" s="193"/>
      <c r="AV8" s="193"/>
      <c r="AW8" s="193"/>
      <c r="AX8" s="193"/>
      <c r="AY8" s="193"/>
      <c r="AZ8" s="193"/>
      <c r="BA8" s="193"/>
      <c r="BB8" s="193"/>
      <c r="BC8" s="193"/>
      <c r="BD8" s="200"/>
      <c r="BE8" s="201">
        <v>4</v>
      </c>
      <c r="BF8" s="201">
        <v>5</v>
      </c>
      <c r="BG8" s="201">
        <v>6</v>
      </c>
      <c r="BH8" s="201">
        <v>7</v>
      </c>
      <c r="BI8" s="201">
        <v>8</v>
      </c>
      <c r="BJ8" s="201">
        <v>9</v>
      </c>
      <c r="BK8" s="201">
        <v>10</v>
      </c>
      <c r="BL8" s="201">
        <v>11</v>
      </c>
      <c r="BM8" s="201">
        <v>12</v>
      </c>
      <c r="BN8" s="201">
        <v>13</v>
      </c>
      <c r="BO8" s="201">
        <v>14</v>
      </c>
      <c r="BP8" s="201">
        <v>15</v>
      </c>
      <c r="BQ8" s="201">
        <v>16</v>
      </c>
      <c r="BR8" s="201">
        <v>17</v>
      </c>
      <c r="BS8" s="201">
        <v>18</v>
      </c>
      <c r="BT8" s="201">
        <v>19</v>
      </c>
      <c r="BU8" s="201">
        <v>20</v>
      </c>
      <c r="BV8" s="201">
        <v>21</v>
      </c>
      <c r="BW8" s="201">
        <v>22</v>
      </c>
      <c r="BX8" s="201">
        <v>23</v>
      </c>
      <c r="BY8" s="201">
        <v>24</v>
      </c>
      <c r="BZ8" s="201">
        <v>25</v>
      </c>
      <c r="CA8" s="201">
        <v>26</v>
      </c>
      <c r="CB8" s="201">
        <v>27</v>
      </c>
      <c r="CC8" s="201">
        <v>28</v>
      </c>
      <c r="CD8" s="201">
        <v>29</v>
      </c>
      <c r="CE8" s="201">
        <v>30</v>
      </c>
      <c r="CF8" s="201">
        <v>1</v>
      </c>
      <c r="CG8" s="201">
        <v>2</v>
      </c>
      <c r="CH8" s="201">
        <v>3</v>
      </c>
      <c r="CI8" s="201">
        <v>4</v>
      </c>
      <c r="CJ8" s="201">
        <v>5</v>
      </c>
      <c r="CK8" s="201">
        <v>6</v>
      </c>
      <c r="CL8" s="201">
        <v>7</v>
      </c>
      <c r="CM8" s="201">
        <v>8</v>
      </c>
      <c r="CN8" s="149"/>
    </row>
    <row r="9" spans="1:101" ht="24" customHeight="1" x14ac:dyDescent="0.3">
      <c r="A9" s="134" t="s">
        <v>234</v>
      </c>
      <c r="B9" s="134" t="s">
        <v>226</v>
      </c>
      <c r="C9" s="134" t="s">
        <v>227</v>
      </c>
      <c r="D9" s="134" t="s">
        <v>228</v>
      </c>
      <c r="E9" s="134" t="s">
        <v>229</v>
      </c>
      <c r="F9" s="134" t="s">
        <v>230</v>
      </c>
      <c r="G9" s="134" t="s">
        <v>160</v>
      </c>
      <c r="H9" s="204"/>
      <c r="I9" s="204"/>
      <c r="J9" s="205" t="s">
        <v>27</v>
      </c>
      <c r="K9" s="204" t="s">
        <v>26</v>
      </c>
      <c r="L9" s="204" t="s">
        <v>137</v>
      </c>
      <c r="M9" s="204" t="s">
        <v>138</v>
      </c>
      <c r="N9" s="204" t="s">
        <v>225</v>
      </c>
      <c r="O9" s="204" t="s">
        <v>232</v>
      </c>
      <c r="P9" s="204" t="s">
        <v>264</v>
      </c>
      <c r="Q9" s="204" t="s">
        <v>265</v>
      </c>
      <c r="R9" s="204" t="s">
        <v>266</v>
      </c>
      <c r="S9" s="204" t="s">
        <v>267</v>
      </c>
      <c r="T9" s="204" t="s">
        <v>268</v>
      </c>
      <c r="U9" s="204" t="s">
        <v>269</v>
      </c>
      <c r="V9" s="204" t="s">
        <v>223</v>
      </c>
      <c r="W9" s="204" t="s">
        <v>233</v>
      </c>
      <c r="X9" s="206" t="s">
        <v>270</v>
      </c>
      <c r="Y9" s="204" t="s">
        <v>271</v>
      </c>
      <c r="Z9" s="204" t="s">
        <v>272</v>
      </c>
      <c r="AA9" s="204" t="s">
        <v>273</v>
      </c>
      <c r="AB9" s="204" t="s">
        <v>192</v>
      </c>
      <c r="AC9" s="204" t="s">
        <v>274</v>
      </c>
      <c r="AD9" s="204" t="s">
        <v>193</v>
      </c>
      <c r="AE9" s="207" t="s">
        <v>12</v>
      </c>
      <c r="AF9" s="204" t="s">
        <v>275</v>
      </c>
      <c r="AG9" s="204" t="s">
        <v>276</v>
      </c>
      <c r="AH9" s="204" t="s">
        <v>277</v>
      </c>
      <c r="AI9" s="204" t="s">
        <v>278</v>
      </c>
      <c r="AJ9" s="204" t="s">
        <v>172</v>
      </c>
      <c r="AK9" s="204" t="s">
        <v>173</v>
      </c>
      <c r="AL9" s="204" t="s">
        <v>174</v>
      </c>
      <c r="AM9" s="204" t="s">
        <v>175</v>
      </c>
      <c r="AN9" s="204" t="s">
        <v>176</v>
      </c>
      <c r="AO9" s="204" t="s">
        <v>177</v>
      </c>
      <c r="AP9" s="204" t="s">
        <v>178</v>
      </c>
      <c r="AQ9" s="204" t="s">
        <v>179</v>
      </c>
      <c r="AR9" s="204" t="s">
        <v>180</v>
      </c>
      <c r="AS9" s="204" t="s">
        <v>181</v>
      </c>
      <c r="AT9" s="204" t="s">
        <v>182</v>
      </c>
      <c r="AU9" s="204" t="s">
        <v>183</v>
      </c>
      <c r="AV9" s="204" t="s">
        <v>184</v>
      </c>
      <c r="AW9" s="204" t="s">
        <v>185</v>
      </c>
      <c r="AX9" s="204" t="s">
        <v>186</v>
      </c>
      <c r="AY9" s="204" t="s">
        <v>187</v>
      </c>
      <c r="AZ9" s="204" t="s">
        <v>188</v>
      </c>
      <c r="BA9" s="204" t="s">
        <v>189</v>
      </c>
      <c r="BB9" s="204" t="s">
        <v>190</v>
      </c>
      <c r="BC9" s="204" t="s">
        <v>191</v>
      </c>
      <c r="BD9" s="208"/>
      <c r="BE9" s="209" t="s">
        <v>282</v>
      </c>
      <c r="BF9" s="209" t="s">
        <v>167</v>
      </c>
      <c r="BG9" s="209" t="s">
        <v>283</v>
      </c>
      <c r="BH9" s="209" t="s">
        <v>167</v>
      </c>
      <c r="BI9" s="209" t="s">
        <v>284</v>
      </c>
      <c r="BJ9" s="210" t="s">
        <v>194</v>
      </c>
      <c r="BK9" s="210" t="s">
        <v>194</v>
      </c>
      <c r="BL9" s="209" t="s">
        <v>282</v>
      </c>
      <c r="BM9" s="209" t="s">
        <v>167</v>
      </c>
      <c r="BN9" s="209" t="s">
        <v>283</v>
      </c>
      <c r="BO9" s="209" t="s">
        <v>167</v>
      </c>
      <c r="BP9" s="209" t="s">
        <v>284</v>
      </c>
      <c r="BQ9" s="210" t="s">
        <v>194</v>
      </c>
      <c r="BR9" s="210" t="s">
        <v>194</v>
      </c>
      <c r="BS9" s="209" t="s">
        <v>282</v>
      </c>
      <c r="BT9" s="209" t="s">
        <v>167</v>
      </c>
      <c r="BU9" s="209" t="s">
        <v>283</v>
      </c>
      <c r="BV9" s="209" t="s">
        <v>167</v>
      </c>
      <c r="BW9" s="209" t="s">
        <v>284</v>
      </c>
      <c r="BX9" s="210" t="s">
        <v>194</v>
      </c>
      <c r="BY9" s="210" t="s">
        <v>194</v>
      </c>
      <c r="BZ9" s="209" t="s">
        <v>282</v>
      </c>
      <c r="CA9" s="209" t="s">
        <v>167</v>
      </c>
      <c r="CB9" s="209" t="s">
        <v>283</v>
      </c>
      <c r="CC9" s="209" t="s">
        <v>167</v>
      </c>
      <c r="CD9" s="209" t="s">
        <v>284</v>
      </c>
      <c r="CE9" s="210" t="s">
        <v>194</v>
      </c>
      <c r="CF9" s="210" t="s">
        <v>194</v>
      </c>
      <c r="CG9" s="209" t="s">
        <v>282</v>
      </c>
      <c r="CH9" s="209" t="s">
        <v>167</v>
      </c>
      <c r="CI9" s="209" t="s">
        <v>283</v>
      </c>
      <c r="CJ9" s="209" t="s">
        <v>167</v>
      </c>
      <c r="CK9" s="209" t="s">
        <v>284</v>
      </c>
      <c r="CL9" s="210" t="s">
        <v>194</v>
      </c>
      <c r="CM9" s="210" t="s">
        <v>194</v>
      </c>
      <c r="CN9" s="76"/>
    </row>
    <row r="10" spans="1:101" s="150" customFormat="1" ht="18" customHeight="1" x14ac:dyDescent="0.3">
      <c r="A10" s="134" t="s">
        <v>167</v>
      </c>
      <c r="B10" s="134">
        <v>1</v>
      </c>
      <c r="C10" s="134"/>
      <c r="D10" s="134"/>
      <c r="E10" s="134"/>
      <c r="F10" s="134"/>
      <c r="G10" s="134">
        <v>0</v>
      </c>
      <c r="H10" s="218"/>
      <c r="I10" s="219" t="s">
        <v>169</v>
      </c>
      <c r="J10" s="191" t="s">
        <v>296</v>
      </c>
      <c r="K10" s="153" t="s">
        <v>299</v>
      </c>
      <c r="L10" s="154" t="s">
        <v>168</v>
      </c>
      <c r="M10" s="155" t="s">
        <v>56</v>
      </c>
      <c r="N10" s="153"/>
      <c r="O10" s="156"/>
      <c r="P10" s="157"/>
      <c r="Q10" s="157"/>
      <c r="R10" s="158"/>
      <c r="S10" s="157">
        <v>44669</v>
      </c>
      <c r="T10" s="157">
        <v>44675</v>
      </c>
      <c r="U10" s="158">
        <v>5</v>
      </c>
      <c r="V10" s="153"/>
      <c r="W10" s="159">
        <v>100</v>
      </c>
      <c r="X10" s="160">
        <v>1</v>
      </c>
      <c r="Y10" s="157"/>
      <c r="Z10" s="157"/>
      <c r="AA10" s="158"/>
      <c r="AB10" s="156"/>
      <c r="AC10" s="156"/>
      <c r="AD10" s="156"/>
      <c r="AE10" s="161"/>
      <c r="AF10" s="162"/>
      <c r="AG10" s="162"/>
      <c r="AH10" s="162"/>
      <c r="AI10" s="162"/>
      <c r="AJ10" s="153"/>
      <c r="AK10" s="153"/>
      <c r="AL10" s="153"/>
      <c r="AM10" s="153"/>
      <c r="AN10" s="153"/>
      <c r="AO10" s="153"/>
      <c r="AP10" s="153"/>
      <c r="AQ10" s="153"/>
      <c r="AR10" s="153"/>
      <c r="AS10" s="153"/>
      <c r="AT10" s="153"/>
      <c r="AU10" s="153"/>
      <c r="AV10" s="153"/>
      <c r="AW10" s="153"/>
      <c r="AX10" s="153"/>
      <c r="AY10" s="153"/>
      <c r="AZ10" s="153"/>
      <c r="BA10" s="153"/>
      <c r="BB10" s="153"/>
      <c r="BC10" s="153"/>
      <c r="BD10" s="178"/>
      <c r="BE10" s="179"/>
      <c r="BF10" s="179"/>
      <c r="BG10" s="179"/>
      <c r="BH10" s="179"/>
      <c r="BI10" s="179"/>
      <c r="BJ10" s="179"/>
      <c r="BK10" s="179"/>
      <c r="BL10" s="179"/>
      <c r="BM10" s="179"/>
      <c r="BN10" s="179"/>
      <c r="BO10" s="179"/>
      <c r="BP10" s="179"/>
      <c r="BQ10" s="179"/>
      <c r="BR10" s="179"/>
      <c r="BS10" s="179"/>
      <c r="BT10" s="179"/>
      <c r="BU10" s="179"/>
      <c r="BV10" s="179"/>
      <c r="BW10" s="179"/>
      <c r="BX10" s="179"/>
      <c r="BY10" s="179"/>
      <c r="BZ10" s="179"/>
      <c r="CA10" s="179"/>
      <c r="CB10" s="179"/>
      <c r="CC10" s="179"/>
      <c r="CD10" s="179"/>
      <c r="CE10" s="179"/>
      <c r="CF10" s="179"/>
      <c r="CG10" s="179"/>
      <c r="CH10" s="179"/>
      <c r="CI10" s="179"/>
      <c r="CJ10" s="179"/>
      <c r="CK10" s="179"/>
      <c r="CL10" s="179"/>
      <c r="CM10" s="179"/>
      <c r="CN10" s="76"/>
      <c r="CO10"/>
      <c r="CP10"/>
      <c r="CQ10"/>
      <c r="CR10"/>
      <c r="CS10"/>
      <c r="CT10"/>
      <c r="CU10"/>
      <c r="CV10"/>
      <c r="CW10"/>
    </row>
    <row r="11" spans="1:101" s="150" customFormat="1" ht="18" customHeight="1" x14ac:dyDescent="0.3">
      <c r="A11" s="134" t="s">
        <v>167</v>
      </c>
      <c r="B11" s="134">
        <v>4</v>
      </c>
      <c r="C11" s="134"/>
      <c r="D11" s="134"/>
      <c r="E11" s="134"/>
      <c r="F11" s="134"/>
      <c r="G11" s="134">
        <v>0</v>
      </c>
      <c r="H11" s="216"/>
      <c r="I11" s="217" t="s">
        <v>169</v>
      </c>
      <c r="J11" s="232" t="s">
        <v>297</v>
      </c>
      <c r="K11" s="170" t="s">
        <v>303</v>
      </c>
      <c r="L11" s="151" t="s">
        <v>168</v>
      </c>
      <c r="M11" s="171" t="s">
        <v>56</v>
      </c>
      <c r="N11" s="170"/>
      <c r="O11" s="172"/>
      <c r="P11" s="173"/>
      <c r="Q11" s="173"/>
      <c r="R11" s="174"/>
      <c r="S11" s="173">
        <v>44669</v>
      </c>
      <c r="T11" s="173">
        <v>44669</v>
      </c>
      <c r="U11" s="260">
        <v>1</v>
      </c>
      <c r="V11" s="170"/>
      <c r="W11" s="175">
        <v>100</v>
      </c>
      <c r="X11" s="176">
        <v>1</v>
      </c>
      <c r="Y11" s="173"/>
      <c r="Z11" s="173"/>
      <c r="AA11" s="174"/>
      <c r="AB11" s="172"/>
      <c r="AC11" s="172"/>
      <c r="AD11" s="172"/>
      <c r="AE11" s="177"/>
      <c r="AF11" s="170"/>
      <c r="AG11" s="170"/>
      <c r="AH11" s="170"/>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233"/>
      <c r="BE11" s="234"/>
      <c r="BF11" s="234"/>
      <c r="BG11" s="234"/>
      <c r="BH11" s="234"/>
      <c r="BI11" s="234"/>
      <c r="BJ11" s="234"/>
      <c r="BK11" s="234"/>
      <c r="BL11" s="234"/>
      <c r="BM11" s="234"/>
      <c r="BN11" s="234"/>
      <c r="BO11" s="234"/>
      <c r="BP11" s="234"/>
      <c r="BQ11" s="234"/>
      <c r="BR11" s="234"/>
      <c r="BS11" s="234"/>
      <c r="BT11" s="234"/>
      <c r="BU11" s="234"/>
      <c r="BV11" s="234"/>
      <c r="BW11" s="234"/>
      <c r="BX11" s="234"/>
      <c r="BY11" s="234"/>
      <c r="BZ11" s="234"/>
      <c r="CA11" s="234"/>
      <c r="CB11" s="234"/>
      <c r="CC11" s="234"/>
      <c r="CD11" s="234"/>
      <c r="CE11" s="234"/>
      <c r="CF11" s="234"/>
      <c r="CG11" s="234"/>
      <c r="CH11" s="234"/>
      <c r="CI11" s="234"/>
      <c r="CJ11" s="234"/>
      <c r="CK11" s="234"/>
      <c r="CL11" s="234"/>
      <c r="CM11" s="234"/>
      <c r="CN11" s="231"/>
    </row>
    <row r="12" spans="1:101" s="150" customFormat="1" ht="18" customHeight="1" x14ac:dyDescent="0.3">
      <c r="A12" s="134" t="s">
        <v>167</v>
      </c>
      <c r="B12" s="134">
        <v>2</v>
      </c>
      <c r="C12" s="134"/>
      <c r="D12" s="134"/>
      <c r="E12" s="134"/>
      <c r="F12" s="134"/>
      <c r="G12" s="134">
        <v>0</v>
      </c>
      <c r="H12" s="216"/>
      <c r="I12" s="217" t="s">
        <v>169</v>
      </c>
      <c r="J12" s="232" t="s">
        <v>300</v>
      </c>
      <c r="K12" s="170" t="s">
        <v>298</v>
      </c>
      <c r="L12" s="236" t="s">
        <v>237</v>
      </c>
      <c r="M12" s="171" t="s">
        <v>56</v>
      </c>
      <c r="N12" s="170"/>
      <c r="O12" s="172"/>
      <c r="P12" s="173"/>
      <c r="Q12" s="173"/>
      <c r="R12" s="174"/>
      <c r="S12" s="173">
        <v>44670</v>
      </c>
      <c r="T12" s="173">
        <v>44671</v>
      </c>
      <c r="U12" s="260">
        <v>2</v>
      </c>
      <c r="V12" s="170"/>
      <c r="W12" s="175">
        <v>100</v>
      </c>
      <c r="X12" s="176">
        <v>1</v>
      </c>
      <c r="Y12" s="173"/>
      <c r="Z12" s="173"/>
      <c r="AA12" s="174"/>
      <c r="AB12" s="172"/>
      <c r="AC12" s="172"/>
      <c r="AD12" s="172"/>
      <c r="AE12" s="177"/>
      <c r="AF12" s="170"/>
      <c r="AG12" s="170"/>
      <c r="AH12" s="170"/>
      <c r="AI12" s="170"/>
      <c r="AJ12" s="170"/>
      <c r="AK12" s="170"/>
      <c r="AL12" s="170"/>
      <c r="AM12" s="170"/>
      <c r="AN12" s="170"/>
      <c r="AO12" s="170"/>
      <c r="AP12" s="170"/>
      <c r="AQ12" s="170"/>
      <c r="AR12" s="170"/>
      <c r="AS12" s="170"/>
      <c r="AT12" s="170"/>
      <c r="AU12" s="170"/>
      <c r="AV12" s="170"/>
      <c r="AW12" s="170"/>
      <c r="AX12" s="170"/>
      <c r="AY12" s="170"/>
      <c r="AZ12" s="170"/>
      <c r="BA12" s="170"/>
      <c r="BB12" s="170"/>
      <c r="BC12" s="170"/>
      <c r="BD12" s="233"/>
      <c r="BE12" s="234"/>
      <c r="BF12" s="234"/>
      <c r="BG12" s="234"/>
      <c r="BH12" s="234"/>
      <c r="BI12" s="234"/>
      <c r="BJ12" s="234"/>
      <c r="BK12" s="234"/>
      <c r="BL12" s="234"/>
      <c r="BM12" s="234"/>
      <c r="BN12" s="234"/>
      <c r="BO12" s="234"/>
      <c r="BP12" s="234"/>
      <c r="BQ12" s="234"/>
      <c r="BR12" s="234"/>
      <c r="BS12" s="234"/>
      <c r="BT12" s="234"/>
      <c r="BU12" s="234"/>
      <c r="BV12" s="234"/>
      <c r="BW12" s="234"/>
      <c r="BX12" s="234"/>
      <c r="BY12" s="234"/>
      <c r="BZ12" s="234"/>
      <c r="CA12" s="234"/>
      <c r="CB12" s="234"/>
      <c r="CC12" s="234"/>
      <c r="CD12" s="234"/>
      <c r="CE12" s="234"/>
      <c r="CF12" s="234"/>
      <c r="CG12" s="234"/>
      <c r="CH12" s="234"/>
      <c r="CI12" s="234"/>
      <c r="CJ12" s="234"/>
      <c r="CK12" s="234"/>
      <c r="CL12" s="234"/>
      <c r="CM12" s="234"/>
      <c r="CN12" s="231"/>
    </row>
    <row r="13" spans="1:101" s="150" customFormat="1" ht="18" customHeight="1" x14ac:dyDescent="0.3">
      <c r="A13" s="134" t="s">
        <v>167</v>
      </c>
      <c r="B13" s="134">
        <v>3</v>
      </c>
      <c r="C13" s="134"/>
      <c r="D13" s="134"/>
      <c r="E13" s="134"/>
      <c r="F13" s="134"/>
      <c r="G13" s="134">
        <v>0</v>
      </c>
      <c r="H13" s="216"/>
      <c r="I13" s="217" t="s">
        <v>169</v>
      </c>
      <c r="J13" s="232" t="s">
        <v>302</v>
      </c>
      <c r="K13" s="170" t="s">
        <v>301</v>
      </c>
      <c r="L13" s="236" t="s">
        <v>237</v>
      </c>
      <c r="M13" s="171" t="s">
        <v>56</v>
      </c>
      <c r="N13" s="170"/>
      <c r="O13" s="172"/>
      <c r="P13" s="173"/>
      <c r="Q13" s="173"/>
      <c r="R13" s="174"/>
      <c r="S13" s="173">
        <v>44670</v>
      </c>
      <c r="T13" s="173">
        <v>44671</v>
      </c>
      <c r="U13" s="260">
        <v>2</v>
      </c>
      <c r="V13" s="170"/>
      <c r="W13" s="175">
        <v>100</v>
      </c>
      <c r="X13" s="176">
        <v>1</v>
      </c>
      <c r="Y13" s="173"/>
      <c r="Z13" s="173"/>
      <c r="AA13" s="174"/>
      <c r="AB13" s="172"/>
      <c r="AC13" s="172"/>
      <c r="AD13" s="172"/>
      <c r="AE13" s="177"/>
      <c r="AF13" s="170"/>
      <c r="AG13" s="170"/>
      <c r="AH13" s="170"/>
      <c r="AI13" s="170"/>
      <c r="AJ13" s="170"/>
      <c r="AK13" s="170"/>
      <c r="AL13" s="170"/>
      <c r="AM13" s="170"/>
      <c r="AN13" s="170"/>
      <c r="AO13" s="170"/>
      <c r="AP13" s="170"/>
      <c r="AQ13" s="170"/>
      <c r="AR13" s="170"/>
      <c r="AS13" s="170"/>
      <c r="AT13" s="170"/>
      <c r="AU13" s="170"/>
      <c r="AV13" s="170"/>
      <c r="AW13" s="170"/>
      <c r="AX13" s="170"/>
      <c r="AY13" s="170"/>
      <c r="AZ13" s="170"/>
      <c r="BA13" s="170"/>
      <c r="BB13" s="170"/>
      <c r="BC13" s="170"/>
      <c r="BD13" s="233"/>
      <c r="BE13" s="234"/>
      <c r="BF13" s="234"/>
      <c r="BG13" s="234"/>
      <c r="BH13" s="234"/>
      <c r="BI13" s="234"/>
      <c r="BJ13" s="234"/>
      <c r="BK13" s="234"/>
      <c r="BL13" s="234"/>
      <c r="BM13" s="234"/>
      <c r="BN13" s="234"/>
      <c r="BO13" s="234"/>
      <c r="BP13" s="234"/>
      <c r="BQ13" s="234"/>
      <c r="BR13" s="234"/>
      <c r="BS13" s="234"/>
      <c r="BT13" s="234"/>
      <c r="BU13" s="234"/>
      <c r="BV13" s="234"/>
      <c r="BW13" s="234"/>
      <c r="BX13" s="234"/>
      <c r="BY13" s="234"/>
      <c r="BZ13" s="234"/>
      <c r="CA13" s="234"/>
      <c r="CB13" s="234"/>
      <c r="CC13" s="234"/>
      <c r="CD13" s="234"/>
      <c r="CE13" s="234"/>
      <c r="CF13" s="234"/>
      <c r="CG13" s="234"/>
      <c r="CH13" s="234"/>
      <c r="CI13" s="234"/>
      <c r="CJ13" s="234"/>
      <c r="CK13" s="234"/>
      <c r="CL13" s="234"/>
      <c r="CM13" s="234"/>
      <c r="CN13" s="231"/>
    </row>
    <row r="14" spans="1:101" s="150" customFormat="1" ht="18" customHeight="1" x14ac:dyDescent="0.3">
      <c r="A14" s="134" t="s">
        <v>167</v>
      </c>
      <c r="B14" s="134">
        <v>5</v>
      </c>
      <c r="C14" s="134"/>
      <c r="D14" s="134"/>
      <c r="E14" s="134"/>
      <c r="F14" s="134"/>
      <c r="G14" s="134">
        <v>0</v>
      </c>
      <c r="H14" s="220"/>
      <c r="I14" s="221" t="s">
        <v>169</v>
      </c>
      <c r="J14" s="223" t="s">
        <v>304</v>
      </c>
      <c r="K14" s="222" t="s">
        <v>305</v>
      </c>
      <c r="L14" s="244" t="s">
        <v>237</v>
      </c>
      <c r="M14" s="224" t="s">
        <v>56</v>
      </c>
      <c r="N14" s="222"/>
      <c r="O14" s="225"/>
      <c r="P14" s="226"/>
      <c r="Q14" s="226"/>
      <c r="R14" s="227"/>
      <c r="S14" s="226">
        <v>44672</v>
      </c>
      <c r="T14" s="226">
        <v>44672</v>
      </c>
      <c r="U14" s="263">
        <v>1</v>
      </c>
      <c r="V14" s="222"/>
      <c r="W14" s="228">
        <v>100</v>
      </c>
      <c r="X14" s="229">
        <v>1</v>
      </c>
      <c r="Y14" s="226"/>
      <c r="Z14" s="226"/>
      <c r="AA14" s="227"/>
      <c r="AB14" s="225"/>
      <c r="AC14" s="225"/>
      <c r="AD14" s="225"/>
      <c r="AE14" s="230"/>
      <c r="AF14" s="222"/>
      <c r="AG14" s="222"/>
      <c r="AH14" s="222"/>
      <c r="AI14" s="222"/>
      <c r="AJ14" s="222"/>
      <c r="AK14" s="222"/>
      <c r="AL14" s="222"/>
      <c r="AM14" s="222"/>
      <c r="AN14" s="222"/>
      <c r="AO14" s="222"/>
      <c r="AP14" s="222"/>
      <c r="AQ14" s="222"/>
      <c r="AR14" s="222"/>
      <c r="AS14" s="222"/>
      <c r="AT14" s="222"/>
      <c r="AU14" s="222"/>
      <c r="AV14" s="222"/>
      <c r="AW14" s="222"/>
      <c r="AX14" s="222"/>
      <c r="AY14" s="222"/>
      <c r="AZ14" s="222"/>
      <c r="BA14" s="222"/>
      <c r="BB14" s="222"/>
      <c r="BC14" s="222"/>
      <c r="BD14" s="264"/>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31"/>
    </row>
    <row r="15" spans="1:101" s="150" customFormat="1" ht="18" customHeight="1" x14ac:dyDescent="0.3">
      <c r="A15" s="134" t="s">
        <v>167</v>
      </c>
      <c r="B15" s="134">
        <v>6</v>
      </c>
      <c r="C15" s="134"/>
      <c r="D15" s="134"/>
      <c r="E15" s="134"/>
      <c r="F15" s="134"/>
      <c r="G15" s="134">
        <v>0</v>
      </c>
      <c r="H15" s="218"/>
      <c r="I15" s="219" t="s">
        <v>169</v>
      </c>
      <c r="J15" s="240" t="s">
        <v>306</v>
      </c>
      <c r="K15" s="162" t="s">
        <v>307</v>
      </c>
      <c r="L15" s="241" t="s">
        <v>237</v>
      </c>
      <c r="M15" s="163" t="s">
        <v>56</v>
      </c>
      <c r="N15" s="162"/>
      <c r="O15" s="164"/>
      <c r="P15" s="165"/>
      <c r="Q15" s="165"/>
      <c r="R15" s="166"/>
      <c r="S15" s="165">
        <v>44672</v>
      </c>
      <c r="T15" s="165">
        <v>44672</v>
      </c>
      <c r="U15" s="261">
        <v>1</v>
      </c>
      <c r="V15" s="162"/>
      <c r="W15" s="167">
        <v>100</v>
      </c>
      <c r="X15" s="168">
        <v>1</v>
      </c>
      <c r="Y15" s="165"/>
      <c r="Z15" s="165"/>
      <c r="AA15" s="166"/>
      <c r="AB15" s="164"/>
      <c r="AC15" s="164"/>
      <c r="AD15" s="164"/>
      <c r="AE15" s="169"/>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242"/>
      <c r="BE15" s="243"/>
      <c r="BF15" s="243"/>
      <c r="BG15" s="243"/>
      <c r="BH15" s="243"/>
      <c r="BI15" s="243"/>
      <c r="BJ15" s="243"/>
      <c r="BK15" s="243"/>
      <c r="BL15" s="243"/>
      <c r="BM15" s="243"/>
      <c r="BN15" s="243"/>
      <c r="BO15" s="243"/>
      <c r="BP15" s="243"/>
      <c r="BQ15" s="243"/>
      <c r="BR15" s="243"/>
      <c r="BS15" s="243"/>
      <c r="BT15" s="243"/>
      <c r="BU15" s="243"/>
      <c r="BV15" s="243"/>
      <c r="BW15" s="243"/>
      <c r="BX15" s="243"/>
      <c r="BY15" s="243"/>
      <c r="BZ15" s="243"/>
      <c r="CA15" s="243"/>
      <c r="CB15" s="243"/>
      <c r="CC15" s="243"/>
      <c r="CD15" s="243"/>
      <c r="CE15" s="243"/>
      <c r="CF15" s="243"/>
      <c r="CG15" s="243"/>
      <c r="CH15" s="243"/>
      <c r="CI15" s="243"/>
      <c r="CJ15" s="243"/>
      <c r="CK15" s="243"/>
      <c r="CL15" s="243"/>
      <c r="CM15" s="243"/>
      <c r="CN15" s="231"/>
    </row>
    <row r="16" spans="1:101" s="150" customFormat="1" ht="18" customHeight="1" x14ac:dyDescent="0.3">
      <c r="A16" s="134" t="s">
        <v>167</v>
      </c>
      <c r="B16" s="134">
        <v>7</v>
      </c>
      <c r="C16" s="134"/>
      <c r="D16" s="134"/>
      <c r="E16" s="134"/>
      <c r="F16" s="134"/>
      <c r="G16" s="134">
        <v>0</v>
      </c>
      <c r="H16" s="214"/>
      <c r="I16" s="215" t="s">
        <v>169</v>
      </c>
      <c r="J16" s="192" t="s">
        <v>308</v>
      </c>
      <c r="K16" s="180" t="s">
        <v>309</v>
      </c>
      <c r="L16" s="237" t="s">
        <v>237</v>
      </c>
      <c r="M16" s="181" t="s">
        <v>56</v>
      </c>
      <c r="N16" s="180"/>
      <c r="O16" s="182"/>
      <c r="P16" s="183"/>
      <c r="Q16" s="183"/>
      <c r="R16" s="184"/>
      <c r="S16" s="183">
        <v>44673</v>
      </c>
      <c r="T16" s="183">
        <v>44673</v>
      </c>
      <c r="U16" s="259">
        <v>1</v>
      </c>
      <c r="V16" s="180"/>
      <c r="W16" s="185">
        <v>100</v>
      </c>
      <c r="X16" s="186">
        <v>1</v>
      </c>
      <c r="Y16" s="183"/>
      <c r="Z16" s="183"/>
      <c r="AA16" s="184"/>
      <c r="AB16" s="182"/>
      <c r="AC16" s="182"/>
      <c r="AD16" s="182"/>
      <c r="AE16" s="187"/>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238"/>
      <c r="BE16" s="239"/>
      <c r="BF16" s="239"/>
      <c r="BG16" s="239"/>
      <c r="BH16" s="239"/>
      <c r="BI16" s="239"/>
      <c r="BJ16" s="239"/>
      <c r="BK16" s="239"/>
      <c r="BL16" s="239"/>
      <c r="BM16" s="239"/>
      <c r="BN16" s="239"/>
      <c r="BO16" s="239"/>
      <c r="BP16" s="239"/>
      <c r="BQ16" s="239"/>
      <c r="BR16" s="239"/>
      <c r="BS16" s="239"/>
      <c r="BT16" s="239"/>
      <c r="BU16" s="239"/>
      <c r="BV16" s="239"/>
      <c r="BW16" s="239"/>
      <c r="BX16" s="239"/>
      <c r="BY16" s="239"/>
      <c r="BZ16" s="239"/>
      <c r="CA16" s="239"/>
      <c r="CB16" s="239"/>
      <c r="CC16" s="239"/>
      <c r="CD16" s="239"/>
      <c r="CE16" s="239"/>
      <c r="CF16" s="239"/>
      <c r="CG16" s="239"/>
      <c r="CH16" s="239"/>
      <c r="CI16" s="239"/>
      <c r="CJ16" s="239"/>
      <c r="CK16" s="239"/>
      <c r="CL16" s="239"/>
      <c r="CM16" s="239"/>
      <c r="CN16" s="231"/>
    </row>
    <row r="17" spans="1:92" s="150" customFormat="1" ht="18" customHeight="1" x14ac:dyDescent="0.3">
      <c r="A17" s="134" t="s">
        <v>167</v>
      </c>
      <c r="B17" s="134">
        <v>8</v>
      </c>
      <c r="C17" s="134"/>
      <c r="D17" s="134"/>
      <c r="E17" s="134"/>
      <c r="F17" s="134"/>
      <c r="G17" s="134">
        <v>0</v>
      </c>
      <c r="H17" s="245"/>
      <c r="I17" s="246" t="s">
        <v>169</v>
      </c>
      <c r="J17" s="247" t="s">
        <v>310</v>
      </c>
      <c r="K17" s="248" t="s">
        <v>311</v>
      </c>
      <c r="L17" s="258" t="s">
        <v>168</v>
      </c>
      <c r="M17" s="249" t="s">
        <v>56</v>
      </c>
      <c r="N17" s="248"/>
      <c r="O17" s="250"/>
      <c r="P17" s="251"/>
      <c r="Q17" s="251"/>
      <c r="R17" s="252"/>
      <c r="S17" s="251">
        <v>44673</v>
      </c>
      <c r="T17" s="251">
        <v>44673</v>
      </c>
      <c r="U17" s="262">
        <v>1</v>
      </c>
      <c r="V17" s="248"/>
      <c r="W17" s="253">
        <v>100</v>
      </c>
      <c r="X17" s="254">
        <v>1</v>
      </c>
      <c r="Y17" s="251"/>
      <c r="Z17" s="251"/>
      <c r="AA17" s="252"/>
      <c r="AB17" s="250"/>
      <c r="AC17" s="250"/>
      <c r="AD17" s="250"/>
      <c r="AE17" s="255"/>
      <c r="AF17" s="248"/>
      <c r="AG17" s="248"/>
      <c r="AH17" s="248"/>
      <c r="AI17" s="248"/>
      <c r="AJ17" s="248"/>
      <c r="AK17" s="248"/>
      <c r="AL17" s="248"/>
      <c r="AM17" s="248"/>
      <c r="AN17" s="248"/>
      <c r="AO17" s="248"/>
      <c r="AP17" s="248"/>
      <c r="AQ17" s="248"/>
      <c r="AR17" s="248"/>
      <c r="AS17" s="248"/>
      <c r="AT17" s="248"/>
      <c r="AU17" s="248"/>
      <c r="AV17" s="248"/>
      <c r="AW17" s="248"/>
      <c r="AX17" s="248"/>
      <c r="AY17" s="248"/>
      <c r="AZ17" s="248"/>
      <c r="BA17" s="248"/>
      <c r="BB17" s="248"/>
      <c r="BC17" s="248"/>
      <c r="BD17" s="256"/>
      <c r="BE17" s="257"/>
      <c r="BF17" s="257"/>
      <c r="BG17" s="257"/>
      <c r="BH17" s="257"/>
      <c r="BI17" s="257"/>
      <c r="BJ17" s="257"/>
      <c r="BK17" s="257"/>
      <c r="BL17" s="257"/>
      <c r="BM17" s="257"/>
      <c r="BN17" s="257"/>
      <c r="BO17" s="257"/>
      <c r="BP17" s="257"/>
      <c r="BQ17" s="257"/>
      <c r="BR17" s="257"/>
      <c r="BS17" s="257"/>
      <c r="BT17" s="257"/>
      <c r="BU17" s="257"/>
      <c r="BV17" s="257"/>
      <c r="BW17" s="257"/>
      <c r="BX17" s="257"/>
      <c r="BY17" s="257"/>
      <c r="BZ17" s="257"/>
      <c r="CA17" s="257"/>
      <c r="CB17" s="257"/>
      <c r="CC17" s="257"/>
      <c r="CD17" s="257"/>
      <c r="CE17" s="257"/>
      <c r="CF17" s="257"/>
      <c r="CG17" s="257"/>
      <c r="CH17" s="257"/>
      <c r="CI17" s="257"/>
      <c r="CJ17" s="257"/>
      <c r="CK17" s="257"/>
      <c r="CL17" s="257"/>
      <c r="CM17" s="257"/>
      <c r="CN17" s="235"/>
    </row>
    <row r="18" spans="1:92" s="76" customFormat="1" x14ac:dyDescent="0.3">
      <c r="A18" s="193"/>
      <c r="B18" s="193"/>
      <c r="C18" s="193"/>
      <c r="D18" s="193"/>
      <c r="E18" s="193"/>
      <c r="F18" s="193"/>
      <c r="G18" s="193"/>
      <c r="H18" s="159"/>
      <c r="I18" s="159"/>
      <c r="J18" s="191"/>
      <c r="K18" s="211" t="s">
        <v>285</v>
      </c>
      <c r="L18" s="212"/>
      <c r="M18" s="159"/>
      <c r="N18" s="153"/>
      <c r="O18" s="158"/>
      <c r="P18" s="157"/>
      <c r="Q18" s="157"/>
      <c r="R18" s="158"/>
      <c r="S18" s="157"/>
      <c r="T18" s="157"/>
      <c r="U18" s="158"/>
      <c r="V18" s="159"/>
      <c r="W18" s="159"/>
      <c r="X18" s="160"/>
      <c r="Y18" s="157"/>
      <c r="Z18" s="157"/>
      <c r="AA18" s="158"/>
      <c r="AB18" s="158"/>
      <c r="AC18" s="158"/>
      <c r="AD18" s="158"/>
      <c r="AE18" s="213"/>
      <c r="AF18" s="159"/>
      <c r="AG18" s="159"/>
      <c r="AH18" s="159"/>
      <c r="AI18" s="159"/>
      <c r="AJ18" s="159"/>
      <c r="AK18" s="159"/>
      <c r="AL18" s="159"/>
      <c r="AM18" s="159"/>
      <c r="AN18" s="159"/>
      <c r="AO18" s="159"/>
      <c r="AP18" s="159"/>
      <c r="AQ18" s="159"/>
      <c r="AR18" s="159"/>
      <c r="AS18" s="159"/>
      <c r="AT18" s="159"/>
      <c r="AU18" s="159"/>
      <c r="AV18" s="159"/>
      <c r="AW18" s="159"/>
      <c r="AX18" s="159"/>
      <c r="AY18" s="159"/>
      <c r="AZ18" s="159"/>
      <c r="BA18" s="159"/>
      <c r="BB18" s="159"/>
      <c r="BC18" s="159"/>
      <c r="BD18" s="159"/>
      <c r="BE18" s="152"/>
      <c r="BF18" s="152"/>
      <c r="BG18" s="152"/>
      <c r="BH18" s="152"/>
      <c r="BI18" s="152"/>
      <c r="BJ18" s="152"/>
      <c r="BK18" s="152"/>
      <c r="BL18" s="152"/>
      <c r="BM18" s="152"/>
      <c r="BN18" s="152"/>
      <c r="BO18" s="152"/>
      <c r="BP18" s="152"/>
      <c r="BQ18" s="152"/>
      <c r="BR18" s="152"/>
      <c r="BS18" s="152"/>
      <c r="BT18" s="152"/>
      <c r="BU18" s="152"/>
      <c r="BV18" s="152"/>
      <c r="BW18" s="152"/>
      <c r="BX18" s="152"/>
      <c r="BY18" s="152"/>
      <c r="BZ18" s="152"/>
      <c r="CA18" s="152"/>
      <c r="CB18" s="152"/>
      <c r="CC18" s="152"/>
      <c r="CD18" s="152"/>
      <c r="CE18" s="152"/>
      <c r="CF18" s="152"/>
      <c r="CG18" s="152"/>
      <c r="CH18" s="152"/>
      <c r="CI18" s="152"/>
      <c r="CJ18" s="152"/>
      <c r="CK18" s="152"/>
      <c r="CL18" s="152"/>
      <c r="CM18" s="152"/>
    </row>
    <row r="19" spans="1:92" s="76" customFormat="1" x14ac:dyDescent="0.3">
      <c r="A19" s="193"/>
      <c r="B19" s="193"/>
      <c r="C19" s="193"/>
      <c r="D19" s="193"/>
      <c r="E19" s="193"/>
      <c r="F19" s="193"/>
      <c r="G19" s="193"/>
      <c r="H19" s="193"/>
      <c r="I19" s="193"/>
      <c r="J19" s="202"/>
      <c r="K19" s="195"/>
      <c r="L19" s="196"/>
      <c r="M19" s="193"/>
      <c r="N19" s="195"/>
      <c r="O19" s="197"/>
      <c r="P19" s="203"/>
      <c r="Q19" s="203"/>
      <c r="R19" s="197"/>
      <c r="S19" s="203"/>
      <c r="T19" s="203"/>
      <c r="U19" s="197"/>
      <c r="V19" s="193"/>
      <c r="W19" s="193"/>
      <c r="X19" s="198"/>
      <c r="Y19" s="203"/>
      <c r="Z19" s="203"/>
      <c r="AA19" s="197"/>
      <c r="AB19" s="197"/>
      <c r="AC19" s="197"/>
      <c r="AD19" s="197"/>
      <c r="AE19" s="199"/>
      <c r="AF19" s="193"/>
      <c r="AG19" s="193"/>
      <c r="AH19" s="193"/>
      <c r="AI19" s="193"/>
      <c r="AJ19" s="193"/>
      <c r="AK19" s="193"/>
      <c r="AL19" s="193"/>
      <c r="AM19" s="193"/>
      <c r="AN19" s="193"/>
      <c r="AO19" s="193"/>
      <c r="AP19" s="193"/>
      <c r="AQ19" s="193"/>
      <c r="AR19" s="193"/>
      <c r="AS19" s="193"/>
      <c r="AT19" s="193"/>
      <c r="AU19" s="193"/>
      <c r="AV19" s="193"/>
      <c r="AW19" s="193"/>
      <c r="AX19" s="193"/>
      <c r="AY19" s="193"/>
      <c r="AZ19" s="193"/>
      <c r="BA19" s="193"/>
      <c r="BB19" s="193"/>
      <c r="BC19" s="193"/>
      <c r="BD19" s="193"/>
    </row>
    <row r="21" spans="1:92" s="76" customFormat="1" x14ac:dyDescent="0.3">
      <c r="A21" s="193"/>
      <c r="B21" s="193"/>
      <c r="C21" s="193"/>
      <c r="D21" s="193"/>
      <c r="E21" s="193"/>
      <c r="F21" s="193"/>
      <c r="G21" s="193"/>
      <c r="H21" s="193"/>
      <c r="I21" s="193"/>
      <c r="J21" s="202"/>
      <c r="K21" s="195"/>
      <c r="L21" s="196"/>
      <c r="M21" s="193"/>
      <c r="N21" s="195"/>
      <c r="O21" s="197"/>
      <c r="P21" s="197"/>
      <c r="Q21" s="197"/>
      <c r="R21" s="197"/>
      <c r="S21" s="197"/>
      <c r="T21" s="197"/>
      <c r="U21" s="197"/>
      <c r="V21" s="193"/>
      <c r="W21" s="193"/>
      <c r="X21" s="198"/>
      <c r="Y21" s="197"/>
      <c r="Z21" s="197"/>
      <c r="AA21" s="197"/>
      <c r="AB21" s="197"/>
      <c r="AC21" s="197"/>
      <c r="AD21" s="197"/>
      <c r="AE21" s="199"/>
      <c r="AF21" s="193"/>
      <c r="AG21" s="193"/>
      <c r="AH21" s="193"/>
      <c r="AI21" s="193"/>
      <c r="AJ21" s="193"/>
      <c r="AK21" s="193"/>
      <c r="AL21" s="193"/>
      <c r="AM21" s="193"/>
      <c r="AN21" s="193"/>
      <c r="AO21" s="193"/>
      <c r="AP21" s="193"/>
      <c r="AQ21" s="193"/>
      <c r="AR21" s="193"/>
      <c r="AS21" s="193"/>
      <c r="AT21" s="193"/>
      <c r="AU21" s="193"/>
      <c r="AV21" s="193"/>
      <c r="AW21" s="193"/>
      <c r="AX21" s="193"/>
      <c r="AY21" s="193"/>
      <c r="AZ21" s="193"/>
      <c r="BA21" s="193"/>
      <c r="BB21" s="193"/>
      <c r="BC21" s="193"/>
      <c r="BD21" s="193"/>
    </row>
    <row r="22" spans="1:92" s="76" customFormat="1" x14ac:dyDescent="0.3">
      <c r="A22" s="193"/>
      <c r="B22" s="193"/>
      <c r="C22" s="193"/>
      <c r="D22" s="193"/>
      <c r="E22" s="193"/>
      <c r="F22" s="193"/>
      <c r="G22" s="193"/>
      <c r="H22" s="193"/>
      <c r="I22" s="193"/>
      <c r="J22" s="202"/>
      <c r="K22" s="195"/>
      <c r="L22" s="196"/>
      <c r="M22" s="193"/>
      <c r="N22" s="195"/>
      <c r="O22" s="197"/>
      <c r="P22" s="197"/>
      <c r="Q22" s="197"/>
      <c r="R22" s="197"/>
      <c r="S22" s="197"/>
      <c r="T22" s="197"/>
      <c r="U22" s="197"/>
      <c r="V22" s="193"/>
      <c r="W22" s="193"/>
      <c r="X22" s="198"/>
      <c r="Y22" s="197"/>
      <c r="Z22" s="197"/>
      <c r="AA22" s="197"/>
      <c r="AB22" s="197"/>
      <c r="AC22" s="197"/>
      <c r="AD22" s="197"/>
      <c r="AE22" s="199"/>
      <c r="AF22" s="193"/>
      <c r="AG22" s="193"/>
      <c r="AH22" s="193"/>
      <c r="AI22" s="193"/>
      <c r="AJ22" s="193"/>
      <c r="AK22" s="193"/>
      <c r="AL22" s="193"/>
      <c r="AM22" s="193"/>
      <c r="AN22" s="193"/>
      <c r="AO22" s="193"/>
      <c r="AP22" s="193"/>
      <c r="AQ22" s="193"/>
      <c r="AR22" s="193"/>
      <c r="AS22" s="193"/>
      <c r="AT22" s="193"/>
      <c r="AU22" s="193"/>
      <c r="AV22" s="193"/>
      <c r="AW22" s="193"/>
      <c r="AX22" s="193"/>
      <c r="AY22" s="193"/>
      <c r="AZ22" s="193"/>
      <c r="BA22" s="193"/>
      <c r="BB22" s="193"/>
      <c r="BC22" s="193"/>
      <c r="BD22" s="193"/>
    </row>
    <row r="23" spans="1:92" s="76" customFormat="1" x14ac:dyDescent="0.3">
      <c r="A23" s="193"/>
      <c r="B23" s="193"/>
      <c r="C23" s="193"/>
      <c r="D23" s="193"/>
      <c r="E23" s="193"/>
      <c r="F23" s="193"/>
      <c r="G23" s="193"/>
      <c r="H23" s="193"/>
      <c r="I23" s="193"/>
      <c r="J23" s="202"/>
      <c r="K23" s="195"/>
      <c r="L23" s="196"/>
      <c r="M23" s="193"/>
      <c r="N23" s="195"/>
      <c r="O23" s="197"/>
      <c r="P23" s="197"/>
      <c r="Q23" s="197"/>
      <c r="R23" s="197"/>
      <c r="S23" s="197"/>
      <c r="T23" s="197"/>
      <c r="U23" s="197"/>
      <c r="V23" s="193"/>
      <c r="W23" s="193"/>
      <c r="X23" s="198"/>
      <c r="Y23" s="197"/>
      <c r="Z23" s="197"/>
      <c r="AA23" s="197"/>
      <c r="AB23" s="197"/>
      <c r="AC23" s="197"/>
      <c r="AD23" s="197"/>
      <c r="AE23" s="199"/>
      <c r="AF23" s="193"/>
      <c r="AG23" s="193"/>
      <c r="AH23" s="193"/>
      <c r="AI23" s="193"/>
      <c r="AJ23" s="193"/>
      <c r="AK23" s="193"/>
      <c r="AL23" s="193"/>
      <c r="AM23" s="193"/>
      <c r="AN23" s="193"/>
      <c r="AO23" s="193"/>
      <c r="AP23" s="193"/>
      <c r="AQ23" s="193"/>
      <c r="AR23" s="193"/>
      <c r="AS23" s="193"/>
      <c r="AT23" s="193"/>
      <c r="AU23" s="193"/>
      <c r="AV23" s="193"/>
      <c r="AW23" s="193"/>
      <c r="AX23" s="193"/>
      <c r="AY23" s="193"/>
      <c r="AZ23" s="193"/>
      <c r="BA23" s="193"/>
      <c r="BB23" s="193"/>
      <c r="BC23" s="193"/>
      <c r="BD23" s="193"/>
    </row>
    <row r="26" spans="1:92" s="76" customFormat="1" x14ac:dyDescent="0.3">
      <c r="A26" s="193"/>
      <c r="B26" s="193"/>
      <c r="C26" s="193"/>
      <c r="D26" s="193"/>
      <c r="E26" s="193"/>
      <c r="F26" s="193"/>
      <c r="G26" s="193"/>
      <c r="H26" s="193"/>
      <c r="I26" s="193"/>
      <c r="J26" s="202"/>
      <c r="K26" s="195"/>
      <c r="L26" s="196"/>
      <c r="M26" s="193"/>
      <c r="N26" s="195"/>
      <c r="O26" s="197"/>
      <c r="P26" s="197"/>
      <c r="Q26" s="197"/>
      <c r="R26" s="197"/>
      <c r="S26" s="197"/>
      <c r="T26" s="197"/>
      <c r="U26" s="197"/>
      <c r="V26" s="193"/>
      <c r="W26" s="193"/>
      <c r="X26" s="198"/>
      <c r="Y26" s="197"/>
      <c r="Z26" s="197"/>
      <c r="AA26" s="197"/>
      <c r="AB26" s="197"/>
      <c r="AC26" s="197"/>
      <c r="AD26" s="197"/>
      <c r="AE26" s="199"/>
      <c r="AF26" s="193"/>
      <c r="AG26" s="193"/>
      <c r="AH26" s="193"/>
      <c r="AI26" s="193"/>
      <c r="AJ26" s="193"/>
      <c r="AK26" s="193"/>
      <c r="AL26" s="193"/>
      <c r="AM26" s="193"/>
      <c r="AN26" s="193"/>
      <c r="AO26" s="193"/>
      <c r="AP26" s="193"/>
      <c r="AQ26" s="193"/>
      <c r="AR26" s="193"/>
      <c r="AS26" s="193"/>
      <c r="AT26" s="193"/>
      <c r="AU26" s="193"/>
      <c r="AV26" s="193"/>
      <c r="AW26" s="193"/>
      <c r="AX26" s="193"/>
      <c r="AY26" s="193"/>
      <c r="AZ26" s="193"/>
      <c r="BA26" s="193"/>
      <c r="BB26" s="193"/>
      <c r="BC26" s="193"/>
      <c r="BD26" s="193"/>
    </row>
  </sheetData>
  <conditionalFormatting sqref="X10:X17">
    <cfRule type="dataBar" priority="2">
      <dataBar>
        <cfvo type="min"/>
        <cfvo type="max"/>
        <color rgb="FF6DD9FF"/>
      </dataBar>
      <extLst>
        <ext xmlns:x14="http://schemas.microsoft.com/office/spreadsheetml/2009/9/main" uri="{B025F937-C7B1-47D3-B67F-A62EFF666E3E}">
          <x14:id>{594BBA8F-4841-4ACE-8C32-9B4C0DF6B2F5}</x14:id>
        </ext>
      </extLst>
    </cfRule>
  </conditionalFormatting>
  <pageMargins left="0.7" right="0.7" top="0.75" bottom="0.75" header="0.3" footer="0.3"/>
  <ignoredErrors>
    <ignoredError sqref="J10:J17" numberStoredAsText="1"/>
  </ignoredErrors>
  <drawing r:id="rId1"/>
  <extLst>
    <ext xmlns:x14="http://schemas.microsoft.com/office/spreadsheetml/2009/9/main" uri="{78C0D931-6437-407d-A8EE-F0AAD7539E65}">
      <x14:conditionalFormattings>
        <x14:conditionalFormatting xmlns:xm="http://schemas.microsoft.com/office/excel/2006/main">
          <x14:cfRule type="dataBar" id="{594BBA8F-4841-4ACE-8C32-9B4C0DF6B2F5}">
            <x14:dataBar minLength="0" maxLength="100" negativeBarColorSameAsPositive="1" axisPosition="none">
              <x14:cfvo type="autoMin"/>
              <x14:cfvo type="autoMax"/>
            </x14:dataBar>
          </x14:cfRule>
          <xm:sqref>X10:X17</xm:sqref>
        </x14:conditionalFormatting>
        <x14:conditionalFormatting xmlns:xm="http://schemas.microsoft.com/office/excel/2006/main">
          <x14:cfRule type="iconSet" priority="1" id="{0DC65379-5815-4A6F-99B0-74C7EC26D8EC}">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W10:W17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elp"/>
  <dimension ref="B2:VGB31"/>
  <sheetViews>
    <sheetView showGridLines="0" showRowColHeaders="0" zoomScaleNormal="100" workbookViewId="0">
      <selection activeCell="F4" sqref="F4"/>
    </sheetView>
  </sheetViews>
  <sheetFormatPr defaultColWidth="9.109375" defaultRowHeight="14.4" x14ac:dyDescent="0.3"/>
  <cols>
    <col min="1" max="1" width="9.109375" style="76"/>
    <col min="2" max="2" width="1" style="76" customWidth="1"/>
    <col min="3" max="3" width="6.33203125" style="76" customWidth="1"/>
    <col min="4" max="4" width="1.33203125" style="76" customWidth="1"/>
    <col min="5" max="15" width="9.109375" style="76" customWidth="1"/>
    <col min="16" max="16" width="9.33203125" style="76" customWidth="1"/>
    <col min="17" max="18" width="9.109375" style="76" customWidth="1"/>
    <col min="19" max="19" width="8.33203125" style="76" customWidth="1"/>
    <col min="20" max="20" width="9.109375" style="76" customWidth="1"/>
    <col min="21" max="21" width="9.33203125" style="76" customWidth="1"/>
    <col min="22" max="22" width="2" style="76" customWidth="1"/>
    <col min="23" max="23" width="0.88671875" style="76" customWidth="1"/>
    <col min="24" max="16384" width="9.109375" style="76"/>
  </cols>
  <sheetData>
    <row r="2" spans="2:23 15055:15056" ht="5.25" customHeight="1" x14ac:dyDescent="0.3">
      <c r="B2" s="19"/>
      <c r="C2" s="19" t="s">
        <v>2</v>
      </c>
      <c r="D2" s="19"/>
      <c r="E2" s="19"/>
      <c r="F2" s="19"/>
      <c r="G2" s="19"/>
      <c r="H2" s="19"/>
      <c r="I2" s="19"/>
      <c r="J2" s="19"/>
      <c r="K2" s="19"/>
      <c r="L2" s="19"/>
      <c r="M2" s="19"/>
      <c r="N2" s="19"/>
      <c r="O2" s="19"/>
      <c r="P2" s="19"/>
      <c r="Q2" s="19"/>
      <c r="R2" s="19"/>
      <c r="S2" s="19"/>
      <c r="T2" s="19"/>
      <c r="U2" s="19"/>
      <c r="V2" s="19"/>
      <c r="W2" s="19"/>
    </row>
    <row r="3" spans="2:23 15055:15056" ht="15" customHeight="1" x14ac:dyDescent="0.3">
      <c r="B3" s="19"/>
      <c r="C3" s="33"/>
      <c r="D3" s="33"/>
      <c r="E3" s="33"/>
      <c r="F3" s="33"/>
      <c r="G3" s="33"/>
      <c r="H3" s="33"/>
      <c r="I3" s="33"/>
      <c r="J3" s="33"/>
      <c r="K3" s="33"/>
      <c r="L3" s="33"/>
      <c r="M3" s="33"/>
      <c r="N3" s="33"/>
      <c r="O3" s="33"/>
      <c r="P3" s="33"/>
      <c r="Q3" s="33"/>
      <c r="R3" s="33"/>
      <c r="S3" s="33"/>
      <c r="T3" s="33"/>
      <c r="U3" s="64"/>
      <c r="V3" s="65"/>
      <c r="W3" s="19"/>
      <c r="VGA3" s="66" t="s">
        <v>73</v>
      </c>
      <c r="VGB3" s="66" t="s">
        <v>74</v>
      </c>
    </row>
    <row r="4" spans="2:23 15055:15056" ht="15" customHeight="1" x14ac:dyDescent="0.3">
      <c r="B4" s="19"/>
      <c r="C4" s="33"/>
      <c r="D4" s="33"/>
      <c r="H4" s="276" t="s">
        <v>157</v>
      </c>
      <c r="I4" s="276"/>
      <c r="J4" s="276"/>
      <c r="K4" s="276"/>
      <c r="L4" s="276"/>
      <c r="M4" s="276"/>
      <c r="N4" s="276"/>
      <c r="O4" s="276"/>
      <c r="P4" s="276"/>
      <c r="Q4" s="276"/>
      <c r="R4" s="276"/>
      <c r="S4" s="276"/>
      <c r="T4" s="33"/>
      <c r="U4" s="33"/>
      <c r="V4" s="33"/>
      <c r="W4" s="19"/>
    </row>
    <row r="5" spans="2:23 15055:15056" ht="15" customHeight="1" x14ac:dyDescent="0.7">
      <c r="B5" s="19"/>
      <c r="C5" s="33"/>
      <c r="D5" s="33"/>
      <c r="G5" s="90"/>
      <c r="H5" s="276"/>
      <c r="I5" s="276"/>
      <c r="J5" s="276"/>
      <c r="K5" s="276"/>
      <c r="L5" s="276"/>
      <c r="M5" s="276"/>
      <c r="N5" s="276"/>
      <c r="O5" s="276"/>
      <c r="P5" s="276"/>
      <c r="Q5" s="276"/>
      <c r="R5" s="276"/>
      <c r="S5" s="276"/>
      <c r="W5" s="19"/>
    </row>
    <row r="6" spans="2:23 15055:15056" ht="35.4" customHeight="1" x14ac:dyDescent="0.3">
      <c r="B6" s="19"/>
      <c r="C6" s="33"/>
      <c r="D6" s="33"/>
      <c r="K6" s="67"/>
      <c r="L6" s="67"/>
      <c r="M6" s="67"/>
      <c r="N6" s="67"/>
      <c r="O6" s="67"/>
      <c r="P6" s="67"/>
      <c r="Q6" s="33"/>
      <c r="R6" s="33"/>
      <c r="S6" s="68"/>
      <c r="T6" s="33"/>
      <c r="U6" s="33"/>
      <c r="V6" s="33"/>
      <c r="W6" s="19"/>
    </row>
    <row r="7" spans="2:23 15055:15056" ht="15" customHeight="1" x14ac:dyDescent="0.3">
      <c r="B7" s="19"/>
      <c r="C7" s="69" t="s">
        <v>156</v>
      </c>
      <c r="D7" s="33"/>
      <c r="K7" s="67"/>
      <c r="L7" s="67"/>
      <c r="M7" s="67"/>
      <c r="N7" s="67"/>
      <c r="O7" s="67"/>
      <c r="P7" s="67"/>
      <c r="Q7" s="33"/>
      <c r="R7" s="33"/>
      <c r="S7" s="68"/>
      <c r="T7" s="33"/>
      <c r="U7" s="33"/>
      <c r="V7" s="33"/>
      <c r="W7" s="19"/>
    </row>
    <row r="8" spans="2:23 15055:15056" ht="3.9" customHeight="1" x14ac:dyDescent="0.3">
      <c r="B8" s="19"/>
      <c r="C8" s="19"/>
      <c r="D8" s="19"/>
      <c r="E8" s="19"/>
      <c r="F8" s="19"/>
      <c r="G8" s="19"/>
      <c r="H8" s="19"/>
      <c r="I8" s="19"/>
      <c r="J8" s="19"/>
      <c r="K8" s="70"/>
      <c r="L8" s="70"/>
      <c r="M8" s="70"/>
      <c r="N8" s="70"/>
      <c r="O8" s="70"/>
      <c r="P8" s="70"/>
      <c r="Q8" s="19"/>
      <c r="R8" s="19"/>
      <c r="S8" s="71"/>
      <c r="T8" s="19"/>
      <c r="U8" s="19"/>
      <c r="V8" s="19"/>
      <c r="W8" s="19"/>
    </row>
    <row r="9" spans="2:23 15055:15056" ht="45.75" customHeight="1" x14ac:dyDescent="0.3">
      <c r="B9" s="19"/>
      <c r="G9" s="275" t="s">
        <v>1</v>
      </c>
      <c r="H9" s="275"/>
      <c r="I9" s="275"/>
      <c r="J9" s="275"/>
      <c r="K9" s="275"/>
      <c r="L9" s="275"/>
      <c r="M9" s="275"/>
      <c r="N9" s="275"/>
      <c r="O9" s="275"/>
      <c r="P9" s="275"/>
      <c r="Q9" s="275"/>
      <c r="R9" s="275"/>
      <c r="S9" s="275"/>
      <c r="W9" s="19"/>
    </row>
    <row r="10" spans="2:23 15055:15056" ht="15" customHeight="1" x14ac:dyDescent="0.35">
      <c r="B10" s="19"/>
      <c r="C10" s="76">
        <v>1</v>
      </c>
      <c r="D10" s="72">
        <v>1</v>
      </c>
      <c r="E10" s="73" t="s">
        <v>80</v>
      </c>
      <c r="F10" s="33"/>
      <c r="G10" s="275"/>
      <c r="H10" s="275"/>
      <c r="I10" s="275"/>
      <c r="J10" s="275"/>
      <c r="K10" s="275"/>
      <c r="L10" s="275"/>
      <c r="M10" s="275"/>
      <c r="N10" s="275"/>
      <c r="O10" s="275"/>
      <c r="P10" s="275"/>
      <c r="Q10" s="275"/>
      <c r="R10" s="275"/>
      <c r="S10" s="275"/>
      <c r="T10" s="74"/>
      <c r="U10" s="74"/>
      <c r="V10" s="74"/>
      <c r="W10" s="19"/>
    </row>
    <row r="11" spans="2:23 15055:15056" ht="15" customHeight="1" x14ac:dyDescent="0.3">
      <c r="B11" s="19"/>
      <c r="E11" s="273" t="s">
        <v>70</v>
      </c>
      <c r="F11" s="274"/>
      <c r="G11" s="274"/>
      <c r="H11" s="274"/>
      <c r="I11" s="274"/>
      <c r="W11" s="19"/>
    </row>
    <row r="12" spans="2:23 15055:15056" ht="15" customHeight="1" x14ac:dyDescent="0.3">
      <c r="B12" s="19"/>
      <c r="W12" s="19"/>
    </row>
    <row r="13" spans="2:23 15055:15056" ht="15" customHeight="1" x14ac:dyDescent="0.35">
      <c r="B13" s="19"/>
      <c r="C13" s="76">
        <v>2</v>
      </c>
      <c r="E13" s="73" t="s">
        <v>158</v>
      </c>
      <c r="W13" s="19"/>
    </row>
    <row r="14" spans="2:23 15055:15056" ht="15" customHeight="1" x14ac:dyDescent="0.3">
      <c r="B14" s="19"/>
      <c r="W14" s="19"/>
    </row>
    <row r="15" spans="2:23 15055:15056" ht="15" customHeight="1" x14ac:dyDescent="0.3">
      <c r="B15" s="19"/>
      <c r="W15" s="19"/>
    </row>
    <row r="16" spans="2:23 15055:15056" ht="15" customHeight="1" x14ac:dyDescent="0.3">
      <c r="B16" s="19"/>
      <c r="W16" s="19"/>
    </row>
    <row r="17" spans="2:23" ht="15" customHeight="1" x14ac:dyDescent="0.3">
      <c r="B17" s="19"/>
      <c r="W17" s="19"/>
    </row>
    <row r="18" spans="2:23" ht="15" customHeight="1" x14ac:dyDescent="0.3">
      <c r="B18" s="19"/>
      <c r="W18" s="19"/>
    </row>
    <row r="19" spans="2:23" ht="15" customHeight="1" x14ac:dyDescent="0.3">
      <c r="B19" s="19"/>
      <c r="W19" s="19"/>
    </row>
    <row r="20" spans="2:23" ht="15" customHeight="1" x14ac:dyDescent="0.3">
      <c r="B20" s="19"/>
      <c r="W20" s="19"/>
    </row>
    <row r="21" spans="2:23" ht="15" customHeight="1" x14ac:dyDescent="0.3">
      <c r="B21" s="19"/>
      <c r="W21" s="19"/>
    </row>
    <row r="22" spans="2:23" ht="15" customHeight="1" x14ac:dyDescent="0.3">
      <c r="B22" s="19"/>
      <c r="E22" s="273" t="s">
        <v>290</v>
      </c>
      <c r="F22" s="274"/>
      <c r="G22" s="274"/>
      <c r="H22" s="274"/>
      <c r="W22" s="19"/>
    </row>
    <row r="23" spans="2:23" ht="15" customHeight="1" x14ac:dyDescent="0.3">
      <c r="B23" s="19"/>
      <c r="E23" s="273" t="s">
        <v>0</v>
      </c>
      <c r="F23" s="274"/>
      <c r="G23" s="274"/>
      <c r="H23" s="274"/>
      <c r="W23" s="19"/>
    </row>
    <row r="24" spans="2:23" ht="15" customHeight="1" x14ac:dyDescent="0.3">
      <c r="B24" s="19"/>
      <c r="W24" s="19"/>
    </row>
    <row r="25" spans="2:23" ht="3.75" customHeight="1" x14ac:dyDescent="0.3">
      <c r="B25" s="19"/>
      <c r="C25" s="19"/>
      <c r="D25" s="19"/>
      <c r="E25" s="19"/>
      <c r="F25" s="19"/>
      <c r="G25" s="19"/>
      <c r="H25" s="19"/>
      <c r="I25" s="19"/>
      <c r="J25" s="19"/>
      <c r="K25" s="19"/>
      <c r="L25" s="19"/>
      <c r="M25" s="19"/>
      <c r="N25" s="19"/>
      <c r="O25" s="19"/>
      <c r="P25" s="19"/>
      <c r="Q25" s="19"/>
      <c r="R25" s="19"/>
      <c r="S25" s="19"/>
      <c r="T25" s="19"/>
      <c r="U25" s="19"/>
      <c r="V25" s="19"/>
      <c r="W25" s="19"/>
    </row>
    <row r="26" spans="2:23" ht="15" customHeight="1" x14ac:dyDescent="0.3"/>
    <row r="31" spans="2:23" x14ac:dyDescent="0.3">
      <c r="H31" s="75"/>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00000000-0004-0000-0500-000000000000}"/>
    <hyperlink ref="E22" r:id="rId2" tooltip="Quick Start Guide" xr:uid="{00000000-0004-0000-0500-000001000000}"/>
    <hyperlink ref="E23" r:id="rId3" tooltip="Click Here For Documentation" xr:uid="{00000000-0004-0000-0500-00000200000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GST1"/>
  <dimension ref="A1:LZ7"/>
  <sheetViews>
    <sheetView workbookViewId="0">
      <selection activeCell="G26" sqref="G26"/>
    </sheetView>
  </sheetViews>
  <sheetFormatPr defaultColWidth="9.109375" defaultRowHeight="14.4" x14ac:dyDescent="0.3"/>
  <cols>
    <col min="1" max="11" width="9.109375" style="131"/>
    <col min="12" max="13" width="14.88671875" style="131" customWidth="1"/>
    <col min="14" max="14" width="12.88671875" style="131" customWidth="1"/>
    <col min="15" max="19" width="9.109375" style="131"/>
    <col min="20" max="20" width="12.6640625" style="131" customWidth="1"/>
    <col min="21" max="27" width="9.109375" style="131"/>
    <col min="28" max="28" width="19.6640625" style="131" customWidth="1"/>
    <col min="29" max="16384" width="9.109375" style="131"/>
  </cols>
  <sheetData>
    <row r="1" spans="1:338" x14ac:dyDescent="0.3">
      <c r="A1" s="11" t="s">
        <v>132</v>
      </c>
      <c r="B1" s="11" t="s">
        <v>146</v>
      </c>
      <c r="C1" s="76" t="s">
        <v>42</v>
      </c>
      <c r="D1" s="76" t="s">
        <v>62</v>
      </c>
      <c r="E1" s="76" t="s">
        <v>45</v>
      </c>
      <c r="F1" s="76" t="s">
        <v>53</v>
      </c>
      <c r="G1" s="76" t="s">
        <v>4</v>
      </c>
      <c r="H1" s="76" t="s">
        <v>6</v>
      </c>
      <c r="I1" s="76" t="s">
        <v>55</v>
      </c>
      <c r="J1" s="76" t="s">
        <v>54</v>
      </c>
      <c r="K1" s="76" t="s">
        <v>71</v>
      </c>
      <c r="L1" s="76" t="s">
        <v>148</v>
      </c>
      <c r="M1" s="76" t="s">
        <v>149</v>
      </c>
      <c r="N1" s="76" t="s">
        <v>64</v>
      </c>
      <c r="O1" s="76" t="s">
        <v>65</v>
      </c>
      <c r="P1" s="76" t="s">
        <v>51</v>
      </c>
      <c r="Q1" s="76" t="s">
        <v>50</v>
      </c>
      <c r="R1" s="76" t="s">
        <v>49</v>
      </c>
      <c r="S1" s="76" t="s">
        <v>48</v>
      </c>
      <c r="T1" s="76" t="s">
        <v>120</v>
      </c>
      <c r="U1" s="76" t="s">
        <v>121</v>
      </c>
      <c r="V1" s="76" t="s">
        <v>122</v>
      </c>
      <c r="W1" s="76" t="s">
        <v>123</v>
      </c>
      <c r="X1" s="76" t="s">
        <v>124</v>
      </c>
      <c r="Y1" s="76" t="s">
        <v>41</v>
      </c>
      <c r="Z1" s="76" t="s">
        <v>40</v>
      </c>
      <c r="AA1" s="76" t="s">
        <v>43</v>
      </c>
      <c r="AB1" s="76" t="s">
        <v>135</v>
      </c>
      <c r="AC1" s="76" t="s">
        <v>52</v>
      </c>
      <c r="AD1" s="76" t="s">
        <v>47</v>
      </c>
      <c r="AE1" s="76" t="s">
        <v>36</v>
      </c>
      <c r="AF1" s="76" t="s">
        <v>35</v>
      </c>
      <c r="AG1" s="76" t="s">
        <v>34</v>
      </c>
      <c r="AH1" s="76" t="s">
        <v>33</v>
      </c>
      <c r="AI1" s="76" t="s">
        <v>32</v>
      </c>
      <c r="AJ1" s="76" t="s">
        <v>31</v>
      </c>
      <c r="AK1" s="76" t="s">
        <v>30</v>
      </c>
      <c r="AL1" s="76" t="s">
        <v>66</v>
      </c>
      <c r="AM1" s="76" t="s">
        <v>67</v>
      </c>
      <c r="AN1" s="76"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76" t="s">
        <v>100</v>
      </c>
      <c r="BV1" s="76" t="s">
        <v>101</v>
      </c>
      <c r="BW1" s="76" t="s">
        <v>102</v>
      </c>
      <c r="BX1" s="76" t="s">
        <v>103</v>
      </c>
      <c r="BY1" s="76" t="s">
        <v>104</v>
      </c>
      <c r="BZ1" s="76" t="s">
        <v>105</v>
      </c>
      <c r="CA1" s="76" t="s">
        <v>106</v>
      </c>
      <c r="CB1" s="76" t="s">
        <v>107</v>
      </c>
      <c r="CC1" s="76" t="s">
        <v>108</v>
      </c>
      <c r="CD1" s="76" t="s">
        <v>109</v>
      </c>
      <c r="CE1" s="76" t="s">
        <v>110</v>
      </c>
      <c r="CF1" s="76" t="s">
        <v>112</v>
      </c>
      <c r="CG1" s="76" t="s">
        <v>111</v>
      </c>
      <c r="CH1" s="76" t="s">
        <v>115</v>
      </c>
      <c r="CI1" s="76" t="s">
        <v>117</v>
      </c>
      <c r="CJ1" s="76" t="s">
        <v>118</v>
      </c>
      <c r="CK1" s="76" t="s">
        <v>119</v>
      </c>
      <c r="CL1" s="76" t="s">
        <v>109</v>
      </c>
      <c r="CM1" s="76" t="s">
        <v>110</v>
      </c>
      <c r="CN1" s="76" t="s">
        <v>112</v>
      </c>
      <c r="CO1" s="76" t="s">
        <v>111</v>
      </c>
      <c r="CP1" s="76" t="s">
        <v>115</v>
      </c>
      <c r="CQ1" s="76" t="s">
        <v>117</v>
      </c>
      <c r="CR1" s="76" t="s">
        <v>118</v>
      </c>
      <c r="CS1" s="76" t="s">
        <v>119</v>
      </c>
      <c r="CT1" s="12" t="s">
        <v>133</v>
      </c>
      <c r="CU1" s="12" t="s">
        <v>128</v>
      </c>
      <c r="CV1" s="12" t="s">
        <v>134</v>
      </c>
      <c r="CW1" s="12" t="s">
        <v>131</v>
      </c>
      <c r="CX1" s="12" t="s">
        <v>130</v>
      </c>
      <c r="CY1" s="12" t="s">
        <v>147</v>
      </c>
      <c r="CZ1" s="12" t="s">
        <v>155</v>
      </c>
      <c r="DA1" s="12" t="s">
        <v>154</v>
      </c>
      <c r="DB1" s="12" t="s">
        <v>153</v>
      </c>
      <c r="DC1" s="12" t="s">
        <v>152</v>
      </c>
      <c r="DD1" s="12" t="s">
        <v>159</v>
      </c>
      <c r="LL1"/>
      <c r="LM1"/>
      <c r="LN1"/>
      <c r="LO1"/>
      <c r="LP1"/>
      <c r="LQ1"/>
      <c r="LR1"/>
      <c r="LS1"/>
      <c r="LT1"/>
      <c r="LU1"/>
      <c r="LV1"/>
      <c r="LW1"/>
      <c r="LX1"/>
      <c r="LY1"/>
      <c r="LZ1"/>
    </row>
    <row r="2" spans="1:338" x14ac:dyDescent="0.3">
      <c r="A2" s="76" t="s">
        <v>113</v>
      </c>
      <c r="B2" s="76">
        <v>0</v>
      </c>
      <c r="C2" s="76" t="s">
        <v>28</v>
      </c>
      <c r="D2" s="76" t="s">
        <v>63</v>
      </c>
      <c r="E2" s="76" t="b">
        <v>1</v>
      </c>
      <c r="F2" s="13" t="s">
        <v>8</v>
      </c>
      <c r="G2" s="14">
        <v>0</v>
      </c>
      <c r="H2" s="14">
        <v>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76" t="b">
        <v>1</v>
      </c>
      <c r="Z2" s="76" t="b">
        <v>0</v>
      </c>
      <c r="AA2" s="76">
        <v>0</v>
      </c>
      <c r="AB2" s="13">
        <v>1</v>
      </c>
      <c r="AC2" s="13" t="s">
        <v>29</v>
      </c>
      <c r="AD2" s="13">
        <v>1</v>
      </c>
      <c r="AE2" s="76" t="b">
        <v>1</v>
      </c>
      <c r="AF2" s="76">
        <v>20</v>
      </c>
      <c r="AG2" s="51" t="s">
        <v>127</v>
      </c>
      <c r="AH2" s="76" t="s">
        <v>26</v>
      </c>
      <c r="AI2" s="76" t="b">
        <v>1</v>
      </c>
      <c r="AJ2" s="76" t="b">
        <v>0</v>
      </c>
      <c r="AK2" s="76" t="b">
        <v>0</v>
      </c>
      <c r="AL2" s="76" t="s">
        <v>68</v>
      </c>
      <c r="AM2" s="76" t="s">
        <v>69</v>
      </c>
      <c r="AN2" s="76"/>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76">
        <v>240</v>
      </c>
      <c r="BU2" s="27">
        <v>34</v>
      </c>
      <c r="BV2" s="76">
        <v>4</v>
      </c>
      <c r="BW2" s="76">
        <v>1</v>
      </c>
      <c r="BX2" s="76">
        <v>1</v>
      </c>
      <c r="BY2" s="76">
        <v>1</v>
      </c>
      <c r="BZ2" s="76">
        <v>1</v>
      </c>
      <c r="CA2" s="76">
        <v>3</v>
      </c>
      <c r="CB2" s="76">
        <v>3</v>
      </c>
      <c r="CC2" s="76">
        <v>6</v>
      </c>
      <c r="CD2" s="76">
        <v>8</v>
      </c>
      <c r="CE2" s="76">
        <v>10</v>
      </c>
      <c r="CF2" s="76">
        <v>12</v>
      </c>
      <c r="CG2" s="76">
        <v>15</v>
      </c>
      <c r="CH2" s="76" t="b">
        <v>1</v>
      </c>
      <c r="CI2" s="13" t="b">
        <v>1</v>
      </c>
      <c r="CJ2" s="15">
        <v>44655</v>
      </c>
      <c r="CK2" s="15">
        <v>44689</v>
      </c>
      <c r="CL2" s="76">
        <v>6</v>
      </c>
      <c r="CM2" s="76">
        <v>10</v>
      </c>
      <c r="CN2" s="76">
        <v>12</v>
      </c>
      <c r="CO2" s="76">
        <v>15</v>
      </c>
      <c r="CP2" s="76" t="b">
        <v>1</v>
      </c>
      <c r="CQ2" s="13" t="b">
        <v>1</v>
      </c>
      <c r="CR2" s="15">
        <v>43617</v>
      </c>
      <c r="CS2" s="15">
        <v>43672</v>
      </c>
      <c r="CT2" s="131" t="s">
        <v>281</v>
      </c>
      <c r="CU2" s="131" t="b">
        <v>1</v>
      </c>
      <c r="CV2" s="131" t="b">
        <v>1</v>
      </c>
      <c r="CW2" s="131" t="b">
        <v>1</v>
      </c>
      <c r="CX2" s="131" t="b">
        <v>1</v>
      </c>
      <c r="CY2" s="131" t="b">
        <v>1</v>
      </c>
      <c r="CZ2" s="131">
        <v>2000</v>
      </c>
      <c r="DA2" s="131">
        <v>2050</v>
      </c>
      <c r="DB2" s="89">
        <v>36526</v>
      </c>
      <c r="DC2" s="89">
        <v>54789</v>
      </c>
      <c r="DD2" s="89">
        <v>44416</v>
      </c>
      <c r="LL2"/>
      <c r="LM2"/>
      <c r="LN2"/>
      <c r="LO2"/>
      <c r="LP2"/>
      <c r="LQ2"/>
      <c r="LR2"/>
      <c r="LS2"/>
      <c r="LT2"/>
      <c r="LU2"/>
      <c r="LV2"/>
      <c r="LW2"/>
      <c r="LX2"/>
      <c r="LY2"/>
      <c r="LZ2"/>
    </row>
    <row r="3" spans="1:338" x14ac:dyDescent="0.3">
      <c r="A3" s="76"/>
      <c r="B3" s="76"/>
      <c r="C3" s="76"/>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row>
    <row r="4" spans="1:338" x14ac:dyDescent="0.3">
      <c r="A4" s="76"/>
      <c r="B4" s="76"/>
      <c r="C4" s="76"/>
      <c r="D4" s="76"/>
      <c r="E4" s="76"/>
      <c r="F4" s="76"/>
      <c r="G4" s="76"/>
      <c r="H4" s="76"/>
      <c r="I4" s="76"/>
      <c r="J4" s="76"/>
      <c r="K4" s="76"/>
      <c r="L4" s="76"/>
      <c r="M4" s="76"/>
      <c r="N4" s="76"/>
      <c r="O4" s="76"/>
      <c r="P4" s="76"/>
      <c r="W4" s="76"/>
      <c r="X4" s="76"/>
      <c r="Y4" s="76"/>
      <c r="Z4" s="76"/>
      <c r="AA4" s="76"/>
      <c r="AB4" s="76"/>
      <c r="AC4" s="76"/>
      <c r="AD4" s="76"/>
      <c r="AE4" s="76"/>
      <c r="AF4" s="76"/>
      <c r="AG4" s="76"/>
      <c r="AH4" s="76"/>
      <c r="AI4" s="76"/>
      <c r="AJ4" s="76"/>
      <c r="AK4" s="76"/>
      <c r="AL4" s="76"/>
      <c r="AM4" s="76"/>
      <c r="AN4" s="76"/>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row>
    <row r="5" spans="1:338" x14ac:dyDescent="0.3">
      <c r="A5" s="76"/>
      <c r="B5" s="76"/>
      <c r="C5" s="76"/>
      <c r="D5" s="76"/>
      <c r="E5" s="76"/>
      <c r="F5" s="76"/>
      <c r="G5" s="76"/>
      <c r="H5" s="76"/>
      <c r="I5" s="76"/>
      <c r="J5" s="76"/>
      <c r="K5" s="76"/>
      <c r="L5" s="76"/>
      <c r="M5" s="76"/>
      <c r="N5" s="76"/>
      <c r="O5" s="76"/>
      <c r="P5" s="76"/>
      <c r="W5" s="76"/>
      <c r="X5" s="76"/>
      <c r="Y5" s="76"/>
      <c r="Z5" s="76"/>
      <c r="AA5" s="76"/>
      <c r="AB5" s="76"/>
      <c r="AC5" s="76"/>
      <c r="AD5" s="76"/>
      <c r="AE5" s="76"/>
      <c r="AF5" s="76"/>
      <c r="AG5" s="76"/>
      <c r="AH5" s="76"/>
      <c r="AI5" s="76"/>
      <c r="AJ5" s="76"/>
      <c r="AK5" s="76"/>
      <c r="AL5" s="76"/>
      <c r="AM5" s="76"/>
      <c r="AN5" s="76"/>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row>
    <row r="6" spans="1:338" x14ac:dyDescent="0.3">
      <c r="A6" s="76"/>
      <c r="B6" s="76"/>
      <c r="C6" s="76"/>
      <c r="D6" s="76"/>
      <c r="E6" s="76"/>
      <c r="F6" s="76"/>
      <c r="G6" s="76"/>
      <c r="H6" s="76"/>
      <c r="I6" s="76"/>
      <c r="J6" s="76"/>
      <c r="K6" s="76"/>
      <c r="L6" s="76"/>
      <c r="M6" s="76"/>
      <c r="N6" s="76"/>
      <c r="O6" s="76"/>
      <c r="P6" s="76"/>
      <c r="W6" s="76"/>
      <c r="X6" s="76"/>
      <c r="Y6" s="76"/>
      <c r="Z6" s="76"/>
      <c r="AA6" s="76"/>
      <c r="AB6" s="76"/>
      <c r="AC6" s="76"/>
      <c r="AD6" s="76"/>
      <c r="AE6" s="76"/>
      <c r="AF6" s="76"/>
      <c r="AG6" s="76"/>
      <c r="AH6" s="76"/>
      <c r="AI6" s="76"/>
      <c r="AJ6" s="76"/>
      <c r="AK6" s="76"/>
      <c r="AL6" s="76"/>
      <c r="AM6" s="76"/>
      <c r="AN6" s="76"/>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row>
    <row r="7" spans="1:338" x14ac:dyDescent="0.3">
      <c r="A7" s="76"/>
      <c r="B7" s="76"/>
      <c r="C7" s="76"/>
      <c r="D7" s="76"/>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row>
  </sheetData>
  <sheetProtection formatCells="0" formatColumns="0" formatRows="0" insertHyperlinks="0" autoFilter="0"/>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2"/>
  <sheetViews>
    <sheetView workbookViewId="0"/>
  </sheetViews>
  <sheetFormatPr defaultRowHeight="14.4" x14ac:dyDescent="0.3"/>
  <sheetData>
    <row r="1" spans="1:20" x14ac:dyDescent="0.3">
      <c r="A1" t="s">
        <v>225</v>
      </c>
      <c r="B1" t="s">
        <v>248</v>
      </c>
      <c r="C1" t="s">
        <v>249</v>
      </c>
      <c r="D1" t="s">
        <v>250</v>
      </c>
      <c r="K1" t="s">
        <v>251</v>
      </c>
      <c r="L1" t="s">
        <v>252</v>
      </c>
      <c r="M1" t="s">
        <v>253</v>
      </c>
      <c r="N1" t="s">
        <v>254</v>
      </c>
      <c r="O1" t="s">
        <v>255</v>
      </c>
      <c r="P1" t="s">
        <v>256</v>
      </c>
      <c r="Q1" t="s">
        <v>257</v>
      </c>
      <c r="R1" t="s">
        <v>258</v>
      </c>
      <c r="S1" t="s">
        <v>259</v>
      </c>
      <c r="T1" t="s">
        <v>260</v>
      </c>
    </row>
    <row r="2" spans="1:20" x14ac:dyDescent="0.3">
      <c r="A2" t="s">
        <v>261</v>
      </c>
      <c r="C2" t="b">
        <v>0</v>
      </c>
      <c r="E2" s="132" t="s">
        <v>262</v>
      </c>
      <c r="K2" s="133">
        <v>0.375</v>
      </c>
      <c r="L2" s="133">
        <v>0.75</v>
      </c>
      <c r="M2">
        <v>0</v>
      </c>
      <c r="N2">
        <v>1</v>
      </c>
      <c r="O2">
        <v>1</v>
      </c>
      <c r="P2">
        <v>1</v>
      </c>
      <c r="Q2">
        <v>1</v>
      </c>
      <c r="R2">
        <v>1</v>
      </c>
      <c r="S2">
        <v>0</v>
      </c>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hoang duc</cp:lastModifiedBy>
  <cp:revision>0</cp:revision>
  <cp:lastPrinted>2021-08-08T06:33:54Z</cp:lastPrinted>
  <dcterms:created xsi:type="dcterms:W3CDTF">2016-09-10T13:03:48Z</dcterms:created>
  <dcterms:modified xsi:type="dcterms:W3CDTF">2022-05-01T15:51:36Z</dcterms:modified>
  <cp:category>Excel Template</cp:category>
  <cp:version>3.0</cp:version>
</cp:coreProperties>
</file>