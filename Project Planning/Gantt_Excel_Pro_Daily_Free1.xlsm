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autoCompressPictures="0"/>
  <mc:AlternateContent xmlns:mc="http://schemas.openxmlformats.org/markup-compatibility/2006">
    <mc:Choice Requires="x15">
      <x15ac:absPath xmlns:x15ac="http://schemas.microsoft.com/office/spreadsheetml/2010/11/ac" url="C:\Users\nguye\Desktop\phattrienduanphanmem\documents\Project Planning\"/>
    </mc:Choice>
  </mc:AlternateContent>
  <bookViews>
    <workbookView xWindow="28425" yWindow="0" windowWidth="28800" windowHeight="31950" tabRatio="913" firstSheet="4" activeTab="4"/>
  </bookViews>
  <sheets>
    <sheet name="Dashboard Data" sheetId="75" state="veryHidden" r:id="rId1"/>
    <sheet name="GanttSettingsTemplate" sheetId="50" state="veryHidden" r:id="rId2"/>
    <sheet name="GanttDashboardTemplate" sheetId="3" state="veryHidden" r:id="rId3"/>
    <sheet name="PivotSheet" sheetId="89" state="veryHidden" r:id="rId4"/>
    <sheet name="Project Plan" sheetId="92" r:id="rId5"/>
    <sheet name="Help" sheetId="7" r:id="rId6"/>
    <sheet name="GS1" sheetId="91" state="veryHidden" r:id="rId7"/>
    <sheet name="RS1" sheetId="90" state="veryHidden" r:id="rId8"/>
  </sheets>
  <functionGroups builtInGroupCount="18"/>
  <definedNames>
    <definedName name="NativeTimeline_EED">#N/A</definedName>
    <definedName name="_xlnm.Print_Area" localSheetId="2">GanttDashboardTemplate!$B$1:$G$44</definedName>
    <definedName name="_xlnm.Print_Titles" localSheetId="2">GanttDashboardTemplate!$2:$2</definedName>
    <definedName name="Slicer_Priority">#N/A</definedName>
    <definedName name="Slicer_Resource">#N/A</definedName>
    <definedName name="Slicer_Status">#N/A</definedName>
    <definedName name="VGD">#REF!</definedName>
  </definedNames>
  <calcPr calcId="162913"/>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G2" i="75" l="1"/>
  <c r="BG3" i="75"/>
  <c r="BG4" i="75"/>
  <c r="BG5" i="75"/>
  <c r="E5" i="3" l="1"/>
  <c r="AT2" i="3"/>
  <c r="AS2" i="3"/>
  <c r="AZ2" i="3" l="1"/>
  <c r="BA2" i="3" s="1"/>
  <c r="D18" i="3" s="1"/>
  <c r="AX2" i="3"/>
  <c r="AY2" i="3" s="1"/>
  <c r="AV2" i="3" l="1"/>
  <c r="E4" i="3" s="1"/>
  <c r="E13" i="3"/>
  <c r="E12" i="3"/>
  <c r="E11" i="3"/>
  <c r="E10" i="3"/>
  <c r="E9" i="3"/>
  <c r="E7" i="3"/>
  <c r="E6" i="3"/>
</calcChain>
</file>

<file path=xl/sharedStrings.xml><?xml version="1.0" encoding="utf-8"?>
<sst xmlns="http://schemas.openxmlformats.org/spreadsheetml/2006/main" count="683" uniqueCount="296">
  <si>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</si>
  <si>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</si>
  <si>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</si>
  <si>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</si>
  <si>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</si>
  <si>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</si>
  <si>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</si>
  <si>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</si>
  <si>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</si>
  <si>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</si>
  <si>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</si>
  <si>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</si>
  <si>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</si>
  <si>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</si>
  <si>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</si>
  <si>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</si>
  <si>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</si>
  <si>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</si>
  <si>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</si>
  <si>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</si>
  <si>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</si>
  <si>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</si>
  <si>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</si>
  <si>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</si>
  <si>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</si>
  <si>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</si>
  <si>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</si>
  <si>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</si>
  <si>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</si>
  <si>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</si>
  <si>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</si>
  <si>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</si>
  <si>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</si>
  <si>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</si>
  <si>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</si>
  <si>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</si>
  <si>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</si>
  <si>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</si>
  <si>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</si>
  <si>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</si>
  <si>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</si>
  <si>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</si>
  <si>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</si>
  <si>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</si>
  <si>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</si>
  <si>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</si>
  <si>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</si>
  <si>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</si>
  <si>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</si>
  <si>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</si>
  <si>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</si>
  <si>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</si>
  <si>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</si>
  <si>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</si>
  <si>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</si>
  <si>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</si>
  <si>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</si>
  <si>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</si>
  <si>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</si>
  <si>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</si>
  <si>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</si>
  <si>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</si>
  <si>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</si>
  <si>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</si>
  <si>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</si>
  <si>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</si>
  <si>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</si>
  <si>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</si>
  <si>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</si>
  <si>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</si>
  <si>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</si>
  <si>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</si>
  <si>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</si>
  <si>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</si>
  <si>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</si>
  <si>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</si>
  <si>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</si>
  <si>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</si>
  <si>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</si>
  <si>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</si>
  <si>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</si>
  <si>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</si>
  <si>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</si>
  <si>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</si>
  <si>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</si>
  <si>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</si>
  <si>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</si>
  <si>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</si>
  <si>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</si>
  <si>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</si>
  <si>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</si>
  <si>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</si>
  <si>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</si>
  <si>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</si>
  <si>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</si>
  <si>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</si>
  <si>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</si>
  <si>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</si>
  <si>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</si>
  <si>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</si>
  <si>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</si>
  <si>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</si>
  <si>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</si>
  <si>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</si>
  <si>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</si>
  <si>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</si>
  <si>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</si>
  <si>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</si>
  <si>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</si>
  <si>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</si>
  <si>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</si>
  <si>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</si>
  <si>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</si>
  <si>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</si>
  <si>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</si>
  <si>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</si>
  <si>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</si>
  <si>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</si>
  <si>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</si>
  <si>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</si>
  <si>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</si>
  <si>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ShowHolidays</t>
  </si>
  <si>
    <t>ShowWeekends</t>
  </si>
  <si>
    <t>ShowHolidaysPR</t>
  </si>
  <si>
    <t>ShowWeekendsPR</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</si>
  <si>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</si>
  <si>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</si>
  <si>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</si>
  <si>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</si>
  <si>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</si>
  <si>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</si>
  <si>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</si>
  <si>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</si>
  <si>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</si>
  <si>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</si>
  <si>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</si>
  <si>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</si>
  <si>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</si>
  <si>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</si>
  <si>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</si>
  <si>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</si>
  <si>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</si>
  <si>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</si>
  <si>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</si>
  <si>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</si>
  <si>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</si>
  <si>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</si>
  <si>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</si>
  <si>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</si>
  <si>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</si>
  <si>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</si>
  <si>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</si>
  <si>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</si>
  <si>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</si>
  <si>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</si>
  <si>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</si>
  <si>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t xml:space="preserve">For Windows Excel versions 2007 - 2019 + All versions of Microsoft 365 and MAC Excel Version 2016 - 2019  + All versions of Microsoft 365 </t>
  </si>
  <si>
    <r>
      <rPr>
        <sz val="28"/>
        <color rgb="FFFF0000"/>
        <rFont val="Calibri"/>
        <family val="2"/>
        <scheme val="minor"/>
      </rPr>
      <t>Gantt Excel</t>
    </r>
    <r>
      <rPr>
        <sz val="28"/>
        <color theme="1"/>
        <rFont val="Calibri"/>
        <family val="2"/>
        <scheme val="minor"/>
      </rPr>
      <t xml:space="preserve"> - </t>
    </r>
    <r>
      <rPr>
        <sz val="28"/>
        <color theme="9" tint="-0.249977111117893"/>
        <rFont val="Calibri"/>
        <family val="2"/>
        <scheme val="minor"/>
      </rPr>
      <t>Project Management in Excel</t>
    </r>
  </si>
  <si>
    <t>Use the Gantt Menu tab in the Excel Ribbon to Create, View and Edit Gantt Charts</t>
  </si>
  <si>
    <t>SavedDate</t>
  </si>
  <si>
    <t>TIL</t>
  </si>
  <si>
    <t>SS</t>
  </si>
  <si>
    <t>TColor</t>
  </si>
  <si>
    <t>TPColor</t>
  </si>
  <si>
    <t>BLColor</t>
  </si>
  <si>
    <t>ACColor</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</si>
  <si>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</si>
  <si>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</si>
  <si>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</si>
  <si>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</si>
  <si>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</si>
  <si>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</si>
  <si>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</si>
  <si>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</si>
  <si>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</si>
  <si>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</si>
  <si>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</si>
  <si>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</si>
  <si>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</si>
  <si>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</si>
  <si>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</si>
  <si>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</si>
  <si>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</si>
  <si>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</si>
  <si>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</si>
  <si>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</si>
  <si>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</si>
  <si>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</si>
  <si>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</si>
  <si>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</si>
  <si>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</si>
  <si>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</si>
  <si>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</si>
  <si>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</si>
  <si>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</si>
  <si>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</si>
  <si>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</si>
  <si>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</si>
  <si>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</si>
  <si>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</si>
  <si>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</si>
  <si>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</si>
  <si>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</si>
  <si>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</si>
  <si>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</si>
  <si>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</si>
  <si>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</si>
  <si>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</si>
  <si>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</si>
  <si>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</si>
  <si>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</si>
  <si>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</si>
  <si>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</si>
  <si>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</si>
  <si>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</si>
  <si>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</si>
  <si>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</si>
  <si>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</si>
  <si>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</si>
  <si>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</si>
  <si>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</si>
  <si>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</si>
  <si>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</si>
  <si>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</si>
  <si>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</si>
  <si>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</si>
  <si>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</si>
  <si>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</si>
  <si>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</si>
  <si>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</si>
  <si>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</si>
  <si>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</si>
  <si>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</si>
  <si>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</si>
  <si>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</si>
  <si>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(blank)</t>
  </si>
  <si>
    <t>LOW</t>
  </si>
  <si>
    <t>HIGH</t>
  </si>
  <si>
    <t>Est Budget</t>
  </si>
  <si>
    <t>Act Costs</t>
  </si>
  <si>
    <t>20-Aug</t>
  </si>
  <si>
    <t>(All)</t>
  </si>
  <si>
    <t>5-Aug</t>
  </si>
  <si>
    <t>Type here or double click to edit in form</t>
  </si>
  <si>
    <t>InProgress</t>
  </si>
  <si>
    <t>T42VP</t>
  </si>
  <si>
    <t>TR8#{5QM</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</si>
  <si>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</si>
  <si>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</si>
  <si>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</si>
  <si>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</si>
  <si>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</si>
  <si>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</si>
  <si>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</si>
  <si>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</si>
  <si>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</si>
  <si>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</si>
  <si>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</si>
  <si>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</si>
  <si>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</si>
  <si>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</si>
  <si>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</si>
  <si>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</si>
  <si>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</si>
  <si>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Baseline Start</t>
  </si>
  <si>
    <t>Baseline End</t>
  </si>
  <si>
    <t>Baseline Duration</t>
  </si>
  <si>
    <t>Start</t>
  </si>
  <si>
    <t>Finish</t>
  </si>
  <si>
    <t>Duration</t>
  </si>
  <si>
    <t>% Complete</t>
  </si>
  <si>
    <t>Actual Start</t>
  </si>
  <si>
    <t>Actual End</t>
  </si>
  <si>
    <t>Actual Duration</t>
  </si>
  <si>
    <t>Est. Cost</t>
  </si>
  <si>
    <t>Bar Color</t>
  </si>
  <si>
    <t>% Color</t>
  </si>
  <si>
    <t>Baseline Color</t>
  </si>
  <si>
    <t>Actual Color</t>
  </si>
  <si>
    <t>TimelineStart</t>
  </si>
  <si>
    <t>TimelineEnd</t>
  </si>
  <si>
    <t>RS1</t>
  </si>
  <si>
    <t>M</t>
  </si>
  <si>
    <t>W</t>
  </si>
  <si>
    <t>F</t>
  </si>
  <si>
    <t>Type here to add a new task</t>
  </si>
  <si>
    <t>Project Lead: Click to edit</t>
  </si>
  <si>
    <r>
      <t>Project Budget</t>
    </r>
    <r>
      <rPr>
        <sz val="10"/>
        <color rgb="FF808080"/>
        <rFont val="Calibri"/>
        <family val="2"/>
        <scheme val="minor"/>
      </rPr>
      <t xml:space="preserve">: Estimated: $0.00 | Baseline: $0.00 | </t>
    </r>
    <r>
      <rPr>
        <b/>
        <sz val="10"/>
        <color rgb="FF808080"/>
        <rFont val="Calibri"/>
        <family val="2"/>
        <scheme val="minor"/>
      </rPr>
      <t>Task Costs</t>
    </r>
    <r>
      <rPr>
        <sz val="10"/>
        <color rgb="FF808080"/>
        <rFont val="Calibri"/>
        <family val="2"/>
        <scheme val="minor"/>
      </rPr>
      <t>: Estimated: $0.00 | Baseline: $0.00 | Actual: $0.00</t>
    </r>
  </si>
  <si>
    <t>thong</t>
  </si>
  <si>
    <t>97869268239790314190314197869090196294864013771059744140</t>
  </si>
  <si>
    <t>Quick Start Guide</t>
  </si>
  <si>
    <t>W14</t>
  </si>
  <si>
    <t>W15</t>
  </si>
  <si>
    <t>W16</t>
  </si>
  <si>
    <t>W17</t>
  </si>
  <si>
    <t>W18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</si>
</sst>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quot;$&quot;\ #,##0"/>
    <numFmt numFmtId="165" formatCode="ddd\ dd\-mmm\-yy"/>
    <numFmt numFmtId="166" formatCode="[$$-409]#,##0.00"/>
  </numFmts>
  <fonts count="43" x14ac:knownFonts="1">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11"/>
      <color rgb="FF000000"/>
      <name val="Calibri"/>
      <family val="2"/>
    </font>
    <font>
      <sz val="26"/>
      <color rgb="FF00B0F0"/>
      <name val="Calibri"/>
      <family val="2"/>
      <scheme val="minor"/>
    </font>
    <font>
      <sz val="28"/>
      <color theme="1"/>
      <name val="Calibri"/>
      <family val="2"/>
      <scheme val="minor"/>
    </font>
    <font>
      <sz val="28"/>
      <color rgb="FFFF0000"/>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scheme val="minor"/>
    </font>
    <font>
      <sz val="10"/>
      <color rgb="FF000000"/>
      <name val="Calibri"/>
      <family val="2"/>
      <scheme val="minor"/>
    </font>
    <font>
      <b/>
      <sz val="9"/>
      <color rgb="FF000000"/>
      <name val="Calibri"/>
      <family val="2"/>
      <scheme val="minor"/>
    </font>
    <font>
      <sz val="10"/>
      <color rgb="FF808080"/>
      <name val="Calibri"/>
      <family val="2"/>
      <scheme val="minor"/>
    </font>
    <font>
      <sz val="11"/>
      <color rgb="FF4472C4"/>
      <name val="Calibri"/>
      <family val="2"/>
      <scheme val="minor"/>
    </font>
    <font>
      <sz val="8"/>
      <color rgb="FF000000"/>
      <name val="Calibri"/>
      <family val="2"/>
      <scheme val="minor"/>
    </font>
    <font>
      <sz val="8"/>
      <color rgb="FF000000"/>
      <name val="Arial"/>
      <family val="2"/>
    </font>
    <font>
      <b/>
      <sz val="10"/>
      <color rgb="FFFFFFFF"/>
      <name val="Calibri"/>
      <family val="2"/>
      <scheme val="minor"/>
    </font>
    <font>
      <i/>
      <sz val="10"/>
      <color rgb="FF000000"/>
      <name val="Calibri"/>
      <family val="2"/>
      <scheme val="minor"/>
    </font>
    <font>
      <b/>
      <sz val="16"/>
      <color rgb="FFFFFFFF"/>
      <name val="Calibri"/>
      <family val="2"/>
      <scheme val="minor"/>
    </font>
    <font>
      <sz val="10"/>
      <color rgb="FFA8E7FE"/>
      <name val="Wingdings 3"/>
      <family val="1"/>
      <charset val="2"/>
    </font>
    <font>
      <b/>
      <sz val="10"/>
      <color rgb="FF808080"/>
      <name val="Calibri"/>
      <family val="2"/>
      <scheme val="minor"/>
    </font>
  </fonts>
  <fills count="51">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s>
  <borders count="14">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CCFFFF"/>
      </left>
      <right/>
      <top/>
      <bottom/>
      <diagonal/>
    </border>
    <border>
      <left/>
      <right/>
      <top style="thin">
        <color rgb="FFCCFFFF"/>
      </top>
      <bottom style="thin">
        <color rgb="FFCCFFFF"/>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right/>
      <top style="thin">
        <color rgb="FFCCFFFF"/>
      </top>
      <bottom/>
      <diagonal/>
    </border>
    <border>
      <left/>
      <right/>
      <top/>
      <bottom style="thin">
        <color rgb="FFCCFFFF"/>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top style="thin">
        <color rgb="FFCCFFFF"/>
      </top>
      <bottom style="thin">
        <color rgb="FFFF0000"/>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6" fillId="0" borderId="0" applyFont="0" applyFill="0" applyBorder="0" applyAlignment="0" applyProtection="0"/>
    <xf numFmtId="0" fontId="30" fillId="0" borderId="0"/>
    <xf numFmtId="0" fontId="2" fillId="0" borderId="0" applyNumberFormat="0" applyFill="0" applyBorder="0" applyAlignment="0" applyProtection="0"/>
  </cellStyleXfs>
  <cellXfs count="202">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0" borderId="0" xfId="0" applyBorder="1"/>
    <xf numFmtId="0" fontId="0" fillId="0" borderId="0" xfId="0" applyBorder="1"/>
    <xf numFmtId="0" fontId="17" fillId="0" borderId="0" xfId="0" applyFont="1" applyBorder="1"/>
    <xf numFmtId="0" fontId="0" fillId="0" borderId="0" xfId="0" applyFill="1" applyBorder="1"/>
    <xf numFmtId="0" fontId="0" fillId="0" borderId="0" xfId="0" applyBorder="1" applyProtection="1">
      <protection locked="0"/>
    </xf>
    <xf numFmtId="4" fontId="0" fillId="0" borderId="0" xfId="0" applyNumberFormat="1" applyBorder="1" applyProtection="1">
      <protection locked="0"/>
    </xf>
    <xf numFmtId="14" fontId="0" fillId="0" borderId="0" xfId="0" applyNumberFormat="1" applyBorder="1" applyProtection="1">
      <protection locked="0"/>
    </xf>
    <xf numFmtId="0" fontId="0" fillId="30" borderId="0" xfId="0" applyFill="1" applyBorder="1"/>
    <xf numFmtId="0" fontId="0" fillId="29" borderId="0" xfId="0" applyFill="1" applyBorder="1"/>
    <xf numFmtId="0" fontId="0" fillId="9" borderId="0" xfId="0" applyFill="1" applyBorder="1"/>
    <xf numFmtId="0" fontId="0" fillId="2" borderId="0" xfId="0" applyFill="1" applyBorder="1"/>
    <xf numFmtId="0" fontId="0" fillId="11" borderId="0" xfId="0" applyFill="1" applyBorder="1"/>
    <xf numFmtId="0" fontId="0" fillId="32" borderId="0" xfId="0" applyFill="1" applyBorder="1"/>
    <xf numFmtId="0" fontId="0" fillId="15" borderId="0" xfId="0" applyFill="1" applyBorder="1"/>
    <xf numFmtId="0" fontId="0" fillId="6" borderId="0" xfId="0" applyFill="1" applyBorder="1"/>
    <xf numFmtId="0" fontId="0" fillId="28" borderId="0" xfId="0" applyFill="1" applyBorder="1"/>
    <xf numFmtId="0" fontId="0" fillId="31" borderId="0" xfId="0" applyFill="1" applyBorder="1"/>
    <xf numFmtId="0" fontId="0" fillId="33" borderId="0" xfId="0" applyFill="1" applyBorder="1"/>
    <xf numFmtId="1" fontId="0" fillId="0" borderId="0" xfId="0" applyNumberFormat="1" applyBorder="1"/>
    <xf numFmtId="0" fontId="0" fillId="16" borderId="0" xfId="0" applyFill="1" applyBorder="1"/>
    <xf numFmtId="0" fontId="0" fillId="10" borderId="0" xfId="0" applyFill="1" applyBorder="1"/>
    <xf numFmtId="0" fontId="0" fillId="12" borderId="0" xfId="0" applyFill="1" applyBorder="1"/>
    <xf numFmtId="0" fontId="0" fillId="5" borderId="0" xfId="0" applyFill="1" applyBorder="1"/>
    <xf numFmtId="0" fontId="0" fillId="27" borderId="0" xfId="0" applyFill="1" applyBorder="1"/>
    <xf numFmtId="0" fontId="0" fillId="4" borderId="0" xfId="0" applyFill="1" applyBorder="1"/>
    <xf numFmtId="0" fontId="0" fillId="25" borderId="0" xfId="0" applyFill="1" applyBorder="1"/>
    <xf numFmtId="0" fontId="0" fillId="7" borderId="0" xfId="0" applyFill="1" applyBorder="1"/>
    <xf numFmtId="0" fontId="0" fillId="17" borderId="0" xfId="0" applyFill="1" applyBorder="1"/>
    <xf numFmtId="0" fontId="0" fillId="18" borderId="0" xfId="0" applyFill="1" applyBorder="1"/>
    <xf numFmtId="0" fontId="0" fillId="14" borderId="0" xfId="0" applyFill="1" applyBorder="1"/>
    <xf numFmtId="0" fontId="0" fillId="23" borderId="0" xfId="0" applyFill="1" applyBorder="1"/>
    <xf numFmtId="0" fontId="0" fillId="22" borderId="0" xfId="0" applyFill="1" applyBorder="1"/>
    <xf numFmtId="0" fontId="0" fillId="13" borderId="0" xfId="0" applyFill="1" applyBorder="1"/>
    <xf numFmtId="0" fontId="0" fillId="26" borderId="0" xfId="0" applyFill="1" applyBorder="1"/>
    <xf numFmtId="0" fontId="0" fillId="20" borderId="0" xfId="0" applyFill="1" applyBorder="1"/>
    <xf numFmtId="0" fontId="0" fillId="19" borderId="0" xfId="0" applyFill="1" applyBorder="1"/>
    <xf numFmtId="0" fontId="0" fillId="24" borderId="0" xfId="0" applyFill="1" applyBorder="1"/>
    <xf numFmtId="0" fontId="0" fillId="8" borderId="0" xfId="0" applyFill="1" applyBorder="1"/>
    <xf numFmtId="0" fontId="0" fillId="21" borderId="0" xfId="0" applyFill="1" applyBorder="1"/>
    <xf numFmtId="0" fontId="0" fillId="0" borderId="0" xfId="0" applyFill="1" applyBorder="1" applyProtection="1">
      <protection locked="0"/>
    </xf>
    <xf numFmtId="49" fontId="0" fillId="0" borderId="0" xfId="0" applyNumberFormat="1" applyFill="1" applyBorder="1"/>
    <xf numFmtId="14" fontId="0" fillId="0" borderId="0" xfId="0" applyNumberFormat="1" applyFill="1" applyBorder="1" applyProtection="1">
      <protection locked="0"/>
    </xf>
    <xf numFmtId="0" fontId="0" fillId="0" borderId="0" xfId="0" applyNumberFormat="1" applyFill="1" applyBorder="1"/>
    <xf numFmtId="0" fontId="0" fillId="0" borderId="0" xfId="0"/>
    <xf numFmtId="0" fontId="0" fillId="34" borderId="0" xfId="0" applyFill="1" applyBorder="1"/>
    <xf numFmtId="0" fontId="0" fillId="35" borderId="0" xfId="0" applyFill="1" applyBorder="1"/>
    <xf numFmtId="0" fontId="0" fillId="3" borderId="0" xfId="0" applyFill="1" applyBorder="1"/>
    <xf numFmtId="0" fontId="0" fillId="0" borderId="0" xfId="0"/>
    <xf numFmtId="0" fontId="0" fillId="0" borderId="0" xfId="0"/>
    <xf numFmtId="0" fontId="0" fillId="36" borderId="0" xfId="0" applyFill="1" applyBorder="1"/>
    <xf numFmtId="0" fontId="0" fillId="37" borderId="0" xfId="0" applyFill="1" applyBorder="1"/>
    <xf numFmtId="0" fontId="0" fillId="0" borderId="0" xfId="0"/>
    <xf numFmtId="0" fontId="0" fillId="38" borderId="0" xfId="0" applyFill="1" applyBorder="1"/>
    <xf numFmtId="0" fontId="0" fillId="0" borderId="0" xfId="0"/>
    <xf numFmtId="0" fontId="0" fillId="0" borderId="0" xfId="0"/>
    <xf numFmtId="0" fontId="6" fillId="4" borderId="0" xfId="0" applyFont="1" applyFill="1" applyBorder="1"/>
    <xf numFmtId="0" fontId="5" fillId="4" borderId="0" xfId="0" applyFont="1" applyFill="1" applyBorder="1"/>
    <xf numFmtId="49" fontId="0" fillId="0" borderId="0" xfId="0" applyNumberFormat="1" applyBorder="1"/>
    <xf numFmtId="0" fontId="4" fillId="4" borderId="0" xfId="0" applyFont="1" applyFill="1" applyBorder="1" applyAlignment="1">
      <alignment horizontal="left" vertical="center" indent="5"/>
    </xf>
    <xf numFmtId="0" fontId="3" fillId="4" borderId="0" xfId="0" applyFont="1" applyFill="1" applyBorder="1" applyProtection="1">
      <protection locked="0"/>
    </xf>
    <xf numFmtId="0" fontId="15" fillId="4" borderId="0" xfId="0" applyFont="1" applyFill="1" applyBorder="1" applyAlignment="1">
      <alignment horizontal="left" vertical="center"/>
    </xf>
    <xf numFmtId="0" fontId="4" fillId="2" borderId="0" xfId="0" applyFont="1" applyFill="1" applyBorder="1" applyAlignment="1">
      <alignment horizontal="left" vertical="center" indent="5"/>
    </xf>
    <xf numFmtId="0" fontId="3" fillId="2" borderId="0" xfId="0" applyFont="1" applyFill="1" applyBorder="1" applyProtection="1">
      <protection locked="0"/>
    </xf>
    <xf numFmtId="0" fontId="18" fillId="0" borderId="0" xfId="0" applyFont="1" applyBorder="1"/>
    <xf numFmtId="0" fontId="16" fillId="4" borderId="0" xfId="0" applyFont="1" applyFill="1" applyBorder="1"/>
    <xf numFmtId="0" fontId="0" fillId="4" borderId="0" xfId="0" applyFill="1" applyBorder="1" applyAlignment="1">
      <alignment horizontal="center"/>
    </xf>
    <xf numFmtId="0" fontId="14" fillId="0" borderId="0" xfId="0" applyFont="1" applyBorder="1"/>
    <xf numFmtId="0" fontId="0" fillId="0" borderId="0" xfId="0" applyBorder="1"/>
    <xf numFmtId="0" fontId="0" fillId="39" borderId="0" xfId="0" applyFill="1" applyBorder="1"/>
    <xf numFmtId="0" fontId="0" fillId="40" borderId="0" xfId="0" applyFill="1" applyBorder="1"/>
    <xf numFmtId="0" fontId="0" fillId="41" borderId="0" xfId="0" applyFill="1" applyBorder="1"/>
    <xf numFmtId="0" fontId="0" fillId="42" borderId="0" xfId="0" applyFill="1" applyBorder="1"/>
    <xf numFmtId="0" fontId="0" fillId="43" borderId="0" xfId="0" applyFill="1" applyBorder="1"/>
    <xf numFmtId="0" fontId="0" fillId="44" borderId="0" xfId="0" applyFill="1" applyBorder="1"/>
    <xf numFmtId="0" fontId="0" fillId="45" borderId="0" xfId="0" applyFill="1" applyBorder="1"/>
    <xf numFmtId="0" fontId="0" fillId="46" borderId="0" xfId="0" applyFill="1" applyBorder="1"/>
    <xf numFmtId="0" fontId="0" fillId="47" borderId="0" xfId="0" applyFill="1" applyBorder="1"/>
    <xf numFmtId="0" fontId="0" fillId="48" borderId="0" xfId="0" applyFill="1" applyBorder="1"/>
    <xf numFmtId="0" fontId="0" fillId="0" borderId="0" xfId="0"/>
    <xf numFmtId="0" fontId="0" fillId="0" borderId="0" xfId="0"/>
    <xf numFmtId="14" fontId="0" fillId="0" borderId="0" xfId="0" applyNumberFormat="1"/>
    <xf numFmtId="0" fontId="21" fillId="0" borderId="0" xfId="0" applyFont="1" applyFill="1" applyAlignment="1"/>
    <xf numFmtId="0" fontId="0" fillId="0" borderId="0" xfId="0"/>
    <xf numFmtId="0" fontId="0" fillId="48" borderId="0" xfId="0" applyFill="1"/>
    <xf numFmtId="0" fontId="0" fillId="0" borderId="0" xfId="0"/>
    <xf numFmtId="0" fontId="0" fillId="0" borderId="0" xfId="0" pivotButton="1"/>
    <xf numFmtId="0" fontId="0" fillId="0" borderId="0" xfId="0" applyNumberFormat="1"/>
    <xf numFmtId="0" fontId="0" fillId="0" borderId="0" xfId="0" applyAlignment="1">
      <alignment horizontal="left"/>
    </xf>
    <xf numFmtId="0" fontId="0" fillId="0" borderId="0" xfId="0"/>
    <xf numFmtId="0" fontId="0" fillId="0" borderId="0" xfId="0" applyFill="1"/>
    <xf numFmtId="3" fontId="9" fillId="0" borderId="0" xfId="0" applyNumberFormat="1" applyFont="1" applyBorder="1"/>
    <xf numFmtId="0" fontId="7" fillId="0" borderId="0" xfId="0" applyFont="1" applyBorder="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5" fillId="0" borderId="0" xfId="0" applyFont="1" applyAlignment="1"/>
    <xf numFmtId="9" fontId="0" fillId="0" borderId="0" xfId="200" applyFont="1" applyProtection="1">
      <protection locked="0"/>
    </xf>
    <xf numFmtId="0" fontId="7" fillId="0" borderId="4" xfId="0" applyFont="1" applyBorder="1"/>
    <xf numFmtId="15" fontId="7" fillId="0" borderId="4" xfId="0" applyNumberFormat="1" applyFont="1" applyBorder="1"/>
    <xf numFmtId="0" fontId="27"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0" fillId="0" borderId="0" xfId="0"/>
    <xf numFmtId="0" fontId="28" fillId="50" borderId="0" xfId="0" applyFont="1" applyFill="1"/>
    <xf numFmtId="0" fontId="25" fillId="0" borderId="0" xfId="0" applyFont="1" applyBorder="1" applyAlignment="1"/>
    <xf numFmtId="14" fontId="0" fillId="0" borderId="0" xfId="0" applyNumberFormat="1" applyAlignment="1">
      <alignment horizontal="left"/>
    </xf>
    <xf numFmtId="0" fontId="0" fillId="0" borderId="0" xfId="0"/>
    <xf numFmtId="0" fontId="0" fillId="0" borderId="0" xfId="0"/>
    <xf numFmtId="164" fontId="0" fillId="0" borderId="0" xfId="0" applyNumberFormat="1"/>
    <xf numFmtId="0" fontId="0" fillId="0" borderId="0" xfId="0"/>
    <xf numFmtId="0" fontId="0" fillId="0" borderId="0" xfId="0"/>
    <xf numFmtId="0" fontId="18" fillId="0" borderId="0" xfId="0" applyFont="1"/>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4" fillId="0" borderId="0" xfId="0" applyFont="1" applyAlignment="1">
      <alignment horizontal="left" vertical="center"/>
    </xf>
    <xf numFmtId="0" fontId="32" fillId="0" borderId="0" xfId="0" applyNumberFormat="1" applyFont="1" applyAlignment="1">
      <alignment horizontal="center" vertical="center"/>
    </xf>
    <xf numFmtId="0" fontId="32" fillId="48" borderId="0" xfId="0" applyFont="1" applyFill="1" applyAlignment="1">
      <alignment horizontal="center" vertical="center"/>
    </xf>
    <xf numFmtId="0" fontId="32" fillId="48" borderId="0" xfId="0" applyFont="1" applyFill="1" applyAlignment="1">
      <alignment horizontal="left" vertical="center"/>
    </xf>
    <xf numFmtId="0" fontId="33" fillId="48" borderId="0" xfId="0" applyFont="1" applyFill="1" applyAlignment="1">
      <alignment horizontal="center" vertical="center"/>
    </xf>
    <xf numFmtId="0" fontId="32" fillId="48" borderId="0" xfId="0" applyFont="1" applyFill="1" applyAlignment="1">
      <alignment horizontal="right" vertical="center"/>
    </xf>
    <xf numFmtId="9" fontId="32" fillId="48" borderId="0" xfId="0" applyNumberFormat="1" applyFont="1" applyFill="1" applyAlignment="1">
      <alignment horizontal="center" vertical="center"/>
    </xf>
    <xf numFmtId="0" fontId="32" fillId="48" borderId="0" xfId="0" applyNumberFormat="1" applyFont="1" applyFill="1" applyAlignment="1">
      <alignment horizontal="center" vertical="center"/>
    </xf>
    <xf numFmtId="0" fontId="35" fillId="48" borderId="0" xfId="0" applyFont="1" applyFill="1"/>
    <xf numFmtId="0" fontId="37" fillId="6" borderId="0" xfId="0" applyFont="1" applyFill="1" applyAlignment="1">
      <alignment horizontal="left" vertical="center"/>
    </xf>
    <xf numFmtId="0" fontId="37" fillId="28" borderId="0" xfId="0" applyFont="1" applyFill="1" applyAlignment="1">
      <alignment horizontal="left" vertical="center"/>
    </xf>
    <xf numFmtId="0" fontId="0" fillId="0" borderId="5" xfId="0" applyBorder="1"/>
    <xf numFmtId="0" fontId="32" fillId="28" borderId="6" xfId="0" applyFont="1" applyFill="1" applyBorder="1" applyAlignment="1">
      <alignment horizontal="center" vertical="center"/>
    </xf>
    <xf numFmtId="9" fontId="32" fillId="28" borderId="6" xfId="0" applyNumberFormat="1" applyFont="1" applyFill="1" applyBorder="1" applyAlignment="1">
      <alignment horizontal="center" vertical="center"/>
    </xf>
    <xf numFmtId="0" fontId="32" fillId="28" borderId="6" xfId="0" applyNumberFormat="1" applyFont="1" applyFill="1" applyBorder="1" applyAlignment="1">
      <alignment horizontal="center" vertical="center"/>
    </xf>
    <xf numFmtId="0" fontId="32" fillId="28" borderId="7" xfId="0" applyFont="1" applyFill="1" applyBorder="1" applyAlignment="1">
      <alignment horizontal="center" vertical="center"/>
    </xf>
    <xf numFmtId="0" fontId="37" fillId="28" borderId="8" xfId="0" applyFont="1" applyFill="1" applyBorder="1" applyAlignment="1">
      <alignment horizontal="center" vertical="center"/>
    </xf>
    <xf numFmtId="0" fontId="37" fillId="43" borderId="8" xfId="0" applyFont="1" applyFill="1" applyBorder="1" applyAlignment="1">
      <alignment horizontal="center" vertical="center"/>
    </xf>
    <xf numFmtId="165" fontId="32" fillId="0" borderId="0" xfId="0" applyNumberFormat="1" applyFont="1" applyAlignment="1">
      <alignment horizontal="right" vertical="center"/>
    </xf>
    <xf numFmtId="0" fontId="31" fillId="0" borderId="0" xfId="0" applyFont="1"/>
    <xf numFmtId="0" fontId="40" fillId="48" borderId="0" xfId="0" applyFont="1" applyFill="1" applyAlignment="1">
      <alignment horizontal="left" vertical="center"/>
    </xf>
    <xf numFmtId="0" fontId="12" fillId="0" borderId="0" xfId="0" applyFont="1" applyAlignment="1">
      <alignment horizontal="center" vertical="center"/>
    </xf>
    <xf numFmtId="0" fontId="10" fillId="0" borderId="0" xfId="0" applyFont="1" applyAlignment="1">
      <alignment horizontal="center"/>
    </xf>
    <xf numFmtId="0" fontId="10" fillId="0" borderId="0" xfId="0" applyFont="1" applyBorder="1" applyAlignment="1">
      <alignment horizontal="center"/>
    </xf>
    <xf numFmtId="9" fontId="29" fillId="0" borderId="0" xfId="0" applyNumberFormat="1" applyFont="1" applyAlignment="1">
      <alignment horizontal="center" vertical="top"/>
    </xf>
    <xf numFmtId="0" fontId="1" fillId="49" borderId="1" xfId="1" applyFill="1" applyAlignment="1">
      <alignment horizontal="left" vertical="center"/>
    </xf>
    <xf numFmtId="0" fontId="28" fillId="0" borderId="0" xfId="0" applyFont="1" applyFill="1" applyBorder="1" applyAlignment="1">
      <alignment horizontal="left" vertical="center"/>
    </xf>
    <xf numFmtId="0" fontId="28" fillId="50" borderId="2" xfId="0" applyFont="1" applyFill="1" applyBorder="1" applyAlignment="1">
      <alignment horizontal="left" vertical="center"/>
    </xf>
    <xf numFmtId="0" fontId="0" fillId="0" borderId="0" xfId="0"/>
    <xf numFmtId="0" fontId="20" fillId="0" borderId="0" xfId="0" applyFont="1" applyFill="1" applyAlignment="1">
      <alignment horizontal="center" vertical="center"/>
    </xf>
    <xf numFmtId="0" fontId="21" fillId="0" borderId="0" xfId="0" applyFont="1" applyFill="1" applyAlignment="1">
      <alignment horizontal="center"/>
    </xf>
    <xf numFmtId="0" fontId="2" fillId="0" borderId="0" xfId="202"/>
    <xf numFmtId="0" fontId="32" fillId="0" borderId="10" xfId="0" applyFont="1" applyBorder="1" applyAlignment="1">
      <alignment horizontal="center" vertical="center"/>
    </xf>
    <xf numFmtId="0" fontId="42" fillId="0" borderId="10" xfId="0" applyFont="1" applyBorder="1" applyAlignment="1">
      <alignment horizontal="left" vertical="center"/>
    </xf>
    <xf numFmtId="0" fontId="32" fillId="0" borderId="10" xfId="0" applyFont="1" applyBorder="1" applyAlignment="1">
      <alignment horizontal="left" vertical="center"/>
    </xf>
    <xf numFmtId="0" fontId="33" fillId="0" borderId="10" xfId="0" applyFont="1" applyBorder="1" applyAlignment="1">
      <alignment horizontal="center" vertical="center"/>
    </xf>
    <xf numFmtId="0" fontId="32" fillId="0" borderId="10" xfId="0" applyFont="1" applyBorder="1" applyAlignment="1">
      <alignment horizontal="right" vertical="center"/>
    </xf>
    <xf numFmtId="9" fontId="32" fillId="0" borderId="10" xfId="0" applyNumberFormat="1" applyFont="1" applyBorder="1" applyAlignment="1">
      <alignment horizontal="center" vertical="center"/>
    </xf>
    <xf numFmtId="0" fontId="32" fillId="0" borderId="10" xfId="0" applyNumberFormat="1" applyFont="1" applyBorder="1" applyAlignment="1">
      <alignment horizontal="center" vertical="center"/>
    </xf>
    <xf numFmtId="0" fontId="32" fillId="0" borderId="11" xfId="0" applyFont="1" applyBorder="1" applyAlignment="1">
      <alignment horizontal="center" vertical="center"/>
    </xf>
    <xf numFmtId="0" fontId="37" fillId="31" borderId="12" xfId="0" applyFont="1" applyFill="1" applyBorder="1" applyAlignment="1">
      <alignment horizontal="center" vertical="center"/>
    </xf>
    <xf numFmtId="0" fontId="32" fillId="35" borderId="6" xfId="0" applyFont="1" applyFill="1" applyBorder="1" applyAlignment="1">
      <alignment horizontal="left" vertical="center"/>
    </xf>
    <xf numFmtId="0" fontId="41" fillId="0" borderId="6" xfId="0" applyFont="1" applyBorder="1" applyAlignment="1">
      <alignment horizontal="center" vertical="center"/>
    </xf>
    <xf numFmtId="0" fontId="32" fillId="0" borderId="6" xfId="0" applyFont="1" applyBorder="1" applyAlignment="1">
      <alignment horizontal="left" vertical="center"/>
    </xf>
    <xf numFmtId="0" fontId="38" fillId="45" borderId="6" xfId="0" applyFont="1" applyFill="1" applyBorder="1" applyAlignment="1">
      <alignment horizontal="center" vertical="center"/>
    </xf>
    <xf numFmtId="0" fontId="36" fillId="0" borderId="6" xfId="0" applyFont="1" applyBorder="1" applyAlignment="1">
      <alignment horizontal="center" vertical="center"/>
    </xf>
    <xf numFmtId="166" fontId="32" fillId="0" borderId="6" xfId="0" applyNumberFormat="1" applyFont="1" applyBorder="1" applyAlignment="1">
      <alignment horizontal="right" vertical="center"/>
    </xf>
    <xf numFmtId="165" fontId="32" fillId="0" borderId="6" xfId="0" applyNumberFormat="1" applyFont="1" applyBorder="1" applyAlignment="1">
      <alignment horizontal="right" vertical="center"/>
    </xf>
    <xf numFmtId="0" fontId="32" fillId="0" borderId="6" xfId="0" applyFont="1" applyBorder="1" applyAlignment="1">
      <alignment horizontal="right" vertical="center"/>
    </xf>
    <xf numFmtId="0" fontId="32" fillId="0" borderId="6" xfId="0" applyFont="1" applyBorder="1" applyAlignment="1">
      <alignment horizontal="center" vertical="center"/>
    </xf>
    <xf numFmtId="9" fontId="32" fillId="0" borderId="6" xfId="0" applyNumberFormat="1" applyFont="1" applyBorder="1" applyAlignment="1">
      <alignment horizontal="center" vertical="center"/>
    </xf>
    <xf numFmtId="0" fontId="32" fillId="0" borderId="6" xfId="0" applyNumberFormat="1" applyFont="1" applyBorder="1" applyAlignment="1">
      <alignment horizontal="left" vertical="center"/>
    </xf>
    <xf numFmtId="0" fontId="32" fillId="0" borderId="7" xfId="0" applyFont="1" applyBorder="1" applyAlignment="1">
      <alignment horizontal="left" vertical="center"/>
    </xf>
    <xf numFmtId="0" fontId="0" fillId="0" borderId="8" xfId="0" applyFill="1" applyBorder="1"/>
    <xf numFmtId="0" fontId="32" fillId="0" borderId="13" xfId="0" applyFont="1" applyBorder="1" applyAlignment="1">
      <alignment horizontal="center" vertical="center"/>
    </xf>
    <xf numFmtId="0" fontId="32" fillId="0" borderId="13" xfId="0" applyFont="1" applyBorder="1" applyAlignment="1">
      <alignment horizontal="left" vertical="center"/>
    </xf>
    <xf numFmtId="0" fontId="39" fillId="0" borderId="13" xfId="0" applyFont="1" applyBorder="1" applyAlignment="1">
      <alignment horizontal="left" vertical="center"/>
    </xf>
    <xf numFmtId="0" fontId="33" fillId="0" borderId="13" xfId="0" applyFont="1" applyBorder="1" applyAlignment="1">
      <alignment horizontal="center" vertical="center"/>
    </xf>
    <xf numFmtId="0" fontId="32" fillId="0" borderId="13" xfId="0" applyFont="1" applyBorder="1" applyAlignment="1">
      <alignment horizontal="right" vertical="center"/>
    </xf>
    <xf numFmtId="165" fontId="32" fillId="0" borderId="13" xfId="0" applyNumberFormat="1" applyFont="1" applyBorder="1" applyAlignment="1">
      <alignment horizontal="right" vertical="center"/>
    </xf>
    <xf numFmtId="9" fontId="32" fillId="0" borderId="13" xfId="0" applyNumberFormat="1" applyFont="1" applyBorder="1" applyAlignment="1">
      <alignment horizontal="center" vertical="center"/>
    </xf>
    <xf numFmtId="0" fontId="32" fillId="0" borderId="13" xfId="0" applyNumberFormat="1" applyFont="1" applyBorder="1" applyAlignment="1">
      <alignment horizontal="center" vertical="center"/>
    </xf>
    <xf numFmtId="0" fontId="0" fillId="0" borderId="9" xfId="0" applyBorder="1"/>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cellStyle name="Percent" xfId="200" builtinId="5"/>
  </cellStyles>
  <dxfs count="5">
    <dxf>
      <font>
        <color rgb="FF9C0006"/>
      </font>
    </dxf>
    <dxf>
      <numFmt numFmtId="167" formatCode="m/d/yyyy"/>
    </dxf>
    <dxf>
      <numFmt numFmtId="167" formatCode="m/d/yyyy"/>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tableStyleElement type="wholeTable" dxfId="4"/>
      <tableStyleElement type="headerRow" dxfId="3"/>
    </tableStyle>
  </tableStyles>
  <colors>
    <mruColors>
      <color rgb="FFF0FFDD"/>
      <color rgb="FFDCF9A9"/>
      <color rgb="FF4472C4"/>
      <color rgb="FFA7E8FF"/>
      <color rgb="FF6DD9FF"/>
      <color rgb="FFFF5050"/>
      <color rgb="FFA6F020"/>
      <color rgb="FFC1EFFF"/>
      <color rgb="FFFF6699"/>
      <color rgb="FFB3F8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rgbClr val="DCF9A9"/>
          </a:solidFill>
          <a:ln w="19050">
            <a:solidFill>
              <a:schemeClr val="lt1"/>
            </a:solidFill>
          </a:ln>
          <a:effectLst/>
        </c:spPr>
      </c:pivotFmt>
      <c:pivotFmt>
        <c:idx val="12"/>
        <c:spPr>
          <a:solidFill>
            <a:srgbClr val="A7E8FF"/>
          </a:solidFill>
          <a:ln w="19050">
            <a:solidFill>
              <a:schemeClr val="lt1"/>
            </a:solidFill>
          </a:ln>
          <a:effectLst/>
        </c:spPr>
      </c:pivotFmt>
      <c:pivotFmt>
        <c:idx val="13"/>
        <c:spPr>
          <a:solidFill>
            <a:srgbClr val="FF5050"/>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PivotSheet!$B$4</c:f>
              <c:strCache>
                <c:ptCount val="1"/>
                <c:pt idx="0">
                  <c:v>Total</c:v>
                </c:pt>
              </c:strCache>
            </c:strRef>
          </c:tx>
          <c:dPt>
            <c:idx val="0"/>
            <c:bubble3D val="0"/>
            <c:spPr>
              <a:solidFill>
                <a:srgbClr val="DCF9A9"/>
              </a:solidFill>
              <a:ln w="19050">
                <a:solidFill>
                  <a:schemeClr val="lt1"/>
                </a:solidFill>
              </a:ln>
              <a:effectLst/>
            </c:spPr>
            <c:extLst>
              <c:ext xmlns:c16="http://schemas.microsoft.com/office/drawing/2014/chart" uri="{C3380CC4-5D6E-409C-BE32-E72D297353CC}">
                <c16:uniqueId val="{00000001-E426-4258-8CA7-71D8556BB275}"/>
              </c:ext>
            </c:extLst>
          </c:dPt>
          <c:dPt>
            <c:idx val="1"/>
            <c:bubble3D val="0"/>
            <c:spPr>
              <a:solidFill>
                <a:srgbClr val="A7E8FF"/>
              </a:solidFill>
              <a:ln w="19050">
                <a:solidFill>
                  <a:schemeClr val="lt1"/>
                </a:solidFill>
              </a:ln>
              <a:effectLst/>
            </c:spPr>
            <c:extLst>
              <c:ext xmlns:c16="http://schemas.microsoft.com/office/drawing/2014/chart" uri="{C3380CC4-5D6E-409C-BE32-E72D297353CC}">
                <c16:uniqueId val="{00000003-E426-4258-8CA7-71D8556BB275}"/>
              </c:ext>
            </c:extLst>
          </c:dPt>
          <c:dPt>
            <c:idx val="2"/>
            <c:bubble3D val="0"/>
            <c:spPr>
              <a:solidFill>
                <a:srgbClr val="FF5050"/>
              </a:solidFill>
              <a:ln w="19050">
                <a:solidFill>
                  <a:schemeClr val="lt1"/>
                </a:solidFill>
              </a:ln>
              <a:effectLst/>
            </c:spPr>
            <c:extLst>
              <c:ext xmlns:c16="http://schemas.microsoft.com/office/drawing/2014/chart" uri="{C3380CC4-5D6E-409C-BE32-E72D297353CC}">
                <c16:uniqueId val="{00000005-E426-4258-8CA7-71D8556BB2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426-4258-8CA7-71D8556BB275}"/>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PivotSheet!$A$5:$A$8</c:f>
              <c:strCache>
                <c:ptCount val="4"/>
                <c:pt idx="0">
                  <c:v>Completed</c:v>
                </c:pt>
                <c:pt idx="1">
                  <c:v>InProgress</c:v>
                </c:pt>
                <c:pt idx="2">
                  <c:v>Overdue</c:v>
                </c:pt>
                <c:pt idx="3">
                  <c:v>Planned</c:v>
                </c:pt>
              </c:strCache>
            </c:strRef>
          </c:cat>
          <c:val>
            <c:numRef>
              <c:f>PivotSheet!$B$5:$B$8</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8-4D69-45B8-BE23-1083FC1339A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rgbClr val="FF5050"/>
          </a:solidFill>
          <a:ln w="19050">
            <a:solidFill>
              <a:schemeClr val="lt1"/>
            </a:solidFill>
          </a:ln>
          <a:effectLst/>
        </c:spPr>
      </c:pivotFmt>
      <c:pivotFmt>
        <c:idx val="15"/>
        <c:spPr>
          <a:solidFill>
            <a:srgbClr val="92D050"/>
          </a:solidFill>
          <a:ln w="19050">
            <a:solidFill>
              <a:schemeClr val="lt1"/>
            </a:solidFill>
          </a:ln>
          <a:effectLst/>
        </c:spPr>
      </c:pivotFmt>
      <c:pivotFmt>
        <c:idx val="16"/>
        <c:spPr>
          <a:solidFill>
            <a:srgbClr val="FFC000"/>
          </a:solidFill>
          <a:ln w="19050">
            <a:solidFill>
              <a:schemeClr val="lt1"/>
            </a:solidFill>
          </a:ln>
          <a:effectLst/>
        </c:spPr>
      </c:pivotFmt>
      <c:pivotFmt>
        <c:idx val="17"/>
        <c:spPr>
          <a:solidFill>
            <a:schemeClr val="accent1"/>
          </a:solidFill>
          <a:ln w="19050">
            <a:solidFill>
              <a:schemeClr val="lt1"/>
            </a:solidFill>
          </a:ln>
          <a:effectLst/>
        </c:spPr>
      </c:pivotFmt>
    </c:pivotFmts>
    <c:plotArea>
      <c:layout/>
      <c:doughnutChart>
        <c:varyColors val="1"/>
        <c:ser>
          <c:idx val="0"/>
          <c:order val="0"/>
          <c:tx>
            <c:strRef>
              <c:f>PivotSheet!$L$4</c:f>
              <c:strCache>
                <c:ptCount val="1"/>
                <c:pt idx="0">
                  <c:v>Total</c:v>
                </c:pt>
              </c:strCache>
            </c:strRef>
          </c:tx>
          <c:dPt>
            <c:idx val="0"/>
            <c:bubble3D val="0"/>
            <c:spPr>
              <a:solidFill>
                <a:srgbClr val="FF5050"/>
              </a:solidFill>
              <a:ln w="19050">
                <a:solidFill>
                  <a:schemeClr val="lt1"/>
                </a:solidFill>
              </a:ln>
              <a:effectLst/>
            </c:spPr>
            <c:extLst>
              <c:ext xmlns:c16="http://schemas.microsoft.com/office/drawing/2014/chart" uri="{C3380CC4-5D6E-409C-BE32-E72D297353CC}">
                <c16:uniqueId val="{00000001-E6E0-4E83-8510-B76807A7554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6E0-4E83-8510-B76807A75548}"/>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E6E0-4E83-8510-B76807A7554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PivotSheet!$K$5:$K$7</c:f>
              <c:strCache>
                <c:ptCount val="3"/>
                <c:pt idx="0">
                  <c:v>HIGH</c:v>
                </c:pt>
                <c:pt idx="1">
                  <c:v>LOW</c:v>
                </c:pt>
                <c:pt idx="2">
                  <c:v>NORMAL</c:v>
                </c:pt>
              </c:strCache>
            </c:strRef>
          </c:cat>
          <c:val>
            <c:numRef>
              <c:f>PivotSheet!$L$5:$L$7</c:f>
              <c:numCache>
                <c:formatCode>General</c:formatCode>
                <c:ptCount val="3"/>
                <c:pt idx="0">
                  <c:v>1</c:v>
                </c:pt>
                <c:pt idx="1">
                  <c:v>1</c:v>
                </c:pt>
                <c:pt idx="2">
                  <c:v>2</c:v>
                </c:pt>
              </c:numCache>
            </c:numRef>
          </c:val>
          <c:extLst>
            <c:ext xmlns:c16="http://schemas.microsoft.com/office/drawing/2014/chart" uri="{C3380CC4-5D6E-409C-BE32-E72D297353CC}">
              <c16:uniqueId val="{00000004-599A-4CE6-B5C8-CD5626369C6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 #,##0</c:formatCode>
                <c:ptCount val="3"/>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 #,##0" sourceLinked="1"/>
        <c:majorTickMark val="none"/>
        <c:minorTickMark val="none"/>
        <c:tickLblPos val="nextTo"/>
        <c:crossAx val="4307101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333375</xdr:colOff>
      <xdr:row>5</xdr:row>
      <xdr:rowOff>85726</xdr:rowOff>
    </xdr:from>
    <xdr:to>
      <xdr:col>7</xdr:col>
      <xdr:colOff>9525</xdr:colOff>
      <xdr:row>12</xdr:row>
      <xdr:rowOff>104776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90625" y="1038226"/>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1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2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2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2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2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2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142875</xdr:colOff>
          <xdr:row>1</xdr:row>
          <xdr:rowOff>19050</xdr:rowOff>
        </xdr:from>
        <xdr:to>
          <xdr:col>5</xdr:col>
          <xdr:colOff>676275</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2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2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art 29">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2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2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2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2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56</xdr:col>
      <xdr:colOff>0</xdr:colOff>
      <xdr:row>5</xdr:row>
      <xdr:rowOff>50800</xdr:rowOff>
    </xdr:from>
    <xdr:to>
      <xdr:col>82</xdr:col>
      <xdr:colOff>708025</xdr:colOff>
      <xdr:row>6</xdr:row>
      <xdr:rowOff>0</xdr:rowOff>
    </xdr:to>
    <xdr:sp macro="" textlink="">
      <xdr:nvSpPr>
        <xdr:cNvPr id="6" name="S_Mo_04/04/2022"/>
        <xdr:cNvSpPr/>
      </xdr:nvSpPr>
      <xdr:spPr>
        <a:xfrm>
          <a:off x="9705975" y="50800"/>
          <a:ext cx="19281775" cy="254000"/>
        </a:xfrm>
        <a:prstGeom prst="round2Same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a:solidFill>
                <a:srgbClr val="4472C4"/>
              </a:solidFill>
            </a:rPr>
            <a:t>April-2022</a:t>
          </a:r>
        </a:p>
      </xdr:txBody>
    </xdr:sp>
    <xdr:clientData/>
  </xdr:twoCellAnchor>
  <xdr:twoCellAnchor>
    <xdr:from>
      <xdr:col>83</xdr:col>
      <xdr:colOff>0</xdr:colOff>
      <xdr:row>5</xdr:row>
      <xdr:rowOff>50800</xdr:rowOff>
    </xdr:from>
    <xdr:to>
      <xdr:col>113</xdr:col>
      <xdr:colOff>708025</xdr:colOff>
      <xdr:row>6</xdr:row>
      <xdr:rowOff>0</xdr:rowOff>
    </xdr:to>
    <xdr:sp macro="" textlink="">
      <xdr:nvSpPr>
        <xdr:cNvPr id="7" name="S_Mo_01/05/2022"/>
        <xdr:cNvSpPr/>
      </xdr:nvSpPr>
      <xdr:spPr>
        <a:xfrm>
          <a:off x="28994100" y="50800"/>
          <a:ext cx="22139275" cy="254000"/>
        </a:xfrm>
        <a:prstGeom prst="round2Same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400">
              <a:solidFill>
                <a:srgbClr val="4472C4"/>
              </a:solidFill>
            </a:rPr>
            <a:t>May-2022</a:t>
          </a:r>
        </a:p>
      </xdr:txBody>
    </xdr:sp>
    <xdr:clientData/>
  </xdr:twoCellAnchor>
  <xdr:twoCellAnchor>
    <xdr:from>
      <xdr:col>58</xdr:col>
      <xdr:colOff>12700</xdr:colOff>
      <xdr:row>9</xdr:row>
      <xdr:rowOff>38862</xdr:rowOff>
    </xdr:from>
    <xdr:to>
      <xdr:col>71</xdr:col>
      <xdr:colOff>234950</xdr:colOff>
      <xdr:row>9</xdr:row>
      <xdr:rowOff>189738</xdr:rowOff>
    </xdr:to>
    <xdr:sp macro="" textlink="">
      <xdr:nvSpPr>
        <xdr:cNvPr id="10" name="S_TE_1"/>
        <xdr:cNvSpPr/>
      </xdr:nvSpPr>
      <xdr:spPr>
        <a:xfrm>
          <a:off x="10213975" y="1029462"/>
          <a:ext cx="344170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25400</xdr:colOff>
      <xdr:row>9</xdr:row>
      <xdr:rowOff>38862</xdr:rowOff>
    </xdr:from>
    <xdr:to>
      <xdr:col>73</xdr:col>
      <xdr:colOff>120650</xdr:colOff>
      <xdr:row>9</xdr:row>
      <xdr:rowOff>189738</xdr:rowOff>
    </xdr:to>
    <xdr:sp macro="" textlink="">
      <xdr:nvSpPr>
        <xdr:cNvPr id="11" name="S_TGB_1"/>
        <xdr:cNvSpPr/>
      </xdr:nvSpPr>
      <xdr:spPr>
        <a:xfrm>
          <a:off x="10226675" y="10294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58</xdr:col>
      <xdr:colOff>0</xdr:colOff>
      <xdr:row>9</xdr:row>
      <xdr:rowOff>0</xdr:rowOff>
    </xdr:from>
    <xdr:to>
      <xdr:col>58</xdr:col>
      <xdr:colOff>1270</xdr:colOff>
      <xdr:row>10</xdr:row>
      <xdr:rowOff>0</xdr:rowOff>
    </xdr:to>
    <xdr:sp macro="" textlink="">
      <xdr:nvSpPr>
        <xdr:cNvPr id="12" name="S_Today_LineLeft"/>
        <xdr:cNvSpPr/>
      </xdr:nvSpPr>
      <xdr:spPr>
        <a:xfrm>
          <a:off x="10201275" y="99060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58</xdr:col>
      <xdr:colOff>234950</xdr:colOff>
      <xdr:row>9</xdr:row>
      <xdr:rowOff>0</xdr:rowOff>
    </xdr:from>
    <xdr:to>
      <xdr:col>58</xdr:col>
      <xdr:colOff>236220</xdr:colOff>
      <xdr:row>10</xdr:row>
      <xdr:rowOff>0</xdr:rowOff>
    </xdr:to>
    <xdr:sp macro="" textlink="">
      <xdr:nvSpPr>
        <xdr:cNvPr id="13" name="S_Today_LineRight"/>
        <xdr:cNvSpPr/>
      </xdr:nvSpPr>
      <xdr:spPr>
        <a:xfrm>
          <a:off x="10436225" y="99060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6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r4d" refreshedDate="44416.821233796298" createdVersion="7" refreshedVersion="7" minRefreshableVersion="3" recordCount="4">
  <cacheSource type="worksheet">
    <worksheetSource name="DashboardTable"/>
  </cacheSource>
  <cacheFields count="60">
    <cacheField name="ProjectID" numFmtId="0">
      <sharedItems containsSemiMixedTypes="0" containsString="0" containsNumber="1" containsInteger="1" minValue="1" maxValue="1"/>
    </cacheField>
    <cacheField name="dType" numFmtId="0">
      <sharedItems containsBlank="1" count="7">
        <s v="T"/>
        <m u="1"/>
        <s v="MP" u="1"/>
        <s v="C" u="1"/>
        <s v="dType" u="1"/>
        <s v="M" u="1"/>
        <s v="SP" u="1"/>
      </sharedItems>
    </cacheField>
    <cacheField name="GEType" numFmtId="0">
      <sharedItems count="2">
        <s v="T"/>
        <s v="M" u="1"/>
      </sharedItems>
    </cacheField>
    <cacheField name="TID" numFmtId="0">
      <sharedItems containsSemiMixedTypes="0" containsString="0" containsNumber="1" containsInteger="1" minValue="1" maxValue="4"/>
    </cacheField>
    <cacheField name="Dependency" numFmtId="0">
      <sharedItems containsNonDate="0" containsString="0" containsBlank="1"/>
    </cacheField>
    <cacheField name="Dependents" numFmtId="0">
      <sharedItems containsNonDate="0" containsString="0" containsBlank="1"/>
    </cacheField>
    <cacheField name="StartConstrain" numFmtId="0">
      <sharedItems containsNonDate="0" containsString="0" containsBlank="1"/>
    </cacheField>
    <cacheField name="EndConstrain" numFmtId="0">
      <sharedItems containsNonDate="0" containsString="0" containsBlank="1"/>
    </cacheField>
    <cacheField name="TIL" numFmtId="0">
      <sharedItems containsSemiMixedTypes="0" containsString="0" containsNumber="1" containsInteger="1" minValue="0" maxValue="0"/>
    </cacheField>
    <cacheField name="SS" numFmtId="0">
      <sharedItems containsNonDate="0" containsString="0" containsBlank="1"/>
    </cacheField>
    <cacheField name="TaskIcon" numFmtId="0">
      <sharedItems/>
    </cacheField>
    <cacheField name="WBS" numFmtId="0">
      <sharedItems containsSemiMixedTypes="0" containsString="0" containsNumber="1" containsInteger="1" minValue="1" maxValue="4"/>
    </cacheField>
    <cacheField name="Task" numFmtId="0">
      <sharedItems/>
    </cacheField>
    <cacheField name="Priority" numFmtId="0">
      <sharedItems containsBlank="1" count="4">
        <s v="NORMAL"/>
        <s v="HIGH"/>
        <s v="LOW"/>
        <m u="1"/>
      </sharedItems>
    </cacheField>
    <cacheField name="Status" numFmtId="0">
      <sharedItems containsBlank="1" count="5">
        <s v="Completed"/>
        <s v="InProgress"/>
        <s v="Planned"/>
        <s v="Overdue"/>
        <m u="1"/>
      </sharedItems>
    </cacheField>
    <cacheField name="Resource" numFmtId="0">
      <sharedItems containsNonDate="0" containsBlank="1" count="38">
        <m/>
        <s v="Humfleet Wendy" u="1"/>
        <s v="Unique Drywall" u="1"/>
        <s v="Newton Painting" u="1"/>
        <s v="JR" u="1"/>
        <s v="Olimpia Stucco" u="1"/>
        <s v="Service Tech" u="1"/>
        <s v="Sys Team" u="1"/>
        <s v="BP Banister" u="1"/>
        <s v="Knotty Woodworks" u="1"/>
        <s v="Lopez Wild Dianne" u="1"/>
        <s v="MHC, Cerner" u="1"/>
        <s v="Flash Electrical" u="1"/>
        <s v="Trim Rite Mfg" u="1"/>
        <s v="SS" u="1"/>
        <s v="AC Flooring" u="1"/>
        <s v="Kuschell Andre" u="1"/>
        <s v="Majestic Cab's" u="1"/>
        <s v="Shiley Kayla -Cerner" u="1"/>
        <s v="Derrick G" u="1"/>
        <s v="Marv J" u="1"/>
        <s v="Jim" u="1"/>
        <s v="Derrick G, Brody M" u="1"/>
        <s v="Walworth  Andrea" u="1"/>
        <s v="Pristine - C/tops" u="1"/>
        <s v="Pristine C/tops" u="1"/>
        <s v="King Denise" u="1"/>
        <s v="Client" u="1"/>
        <s v="Morehouse Mitch" u="1"/>
        <s v="Delta Coring" u="1"/>
        <s v="Cerner, MHC"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String="0" containsBlank="1"/>
    </cacheField>
    <cacheField name="BED" numFmtId="0">
      <sharedItems containsNonDate="0" containsString="0" containsBlank="1"/>
    </cacheField>
    <cacheField name="BD" numFmtId="0">
      <sharedItems containsNonDate="0" containsString="0" containsBlank="1"/>
    </cacheField>
    <cacheField name="ESD" numFmtId="14">
      <sharedItems containsSemiMixedTypes="0" containsNonDate="0" containsDate="1" containsString="0" minDate="2021-08-02T00:00:00" maxDate="2021-08-09T00:00:00"/>
    </cacheField>
    <cacheField name="EED" numFmtId="14">
      <sharedItems containsSemiMixedTypes="0" containsNonDate="0" containsDate="1" containsString="0" minDate="2021-08-05T00:00:00" maxDate="2021-08-21T00:00:00" count="2">
        <d v="2021-08-20T00:00:00"/>
        <d v="2021-08-05T00:00:00"/>
      </sharedItems>
      <fieldGroup par="59" base="21">
        <rangePr groupBy="days" startDate="2021-08-05T00:00:00" endDate="2021-08-21T00:00:00"/>
        <groupItems count="368">
          <s v="&lt;8/5/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1/2021"/>
        </groupItems>
      </fieldGroup>
    </cacheField>
    <cacheField name="ED" numFmtId="0">
      <sharedItems containsSemiMixedTypes="0" containsString="0" containsNumber="1" containsInteger="1" minValue="4" maxValue="10"/>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String="0" containsBlank="1"/>
    </cacheField>
    <cacheField name="AED" numFmtId="0">
      <sharedItems containsNonDate="0" containsString="0" containsBlank="1"/>
    </cacheField>
    <cacheField name="AD" numFmtId="0">
      <sharedItems containsNonDate="0" containsString="0" containsBlank="1"/>
    </cacheField>
    <cacheField name="BCS" numFmtId="0">
      <sharedItems containsNonDate="0" containsString="0" containsBlank="1"/>
    </cacheField>
    <cacheField name="ECS" numFmtId="0">
      <sharedItems containsNonDate="0" containsString="0" containsBlank="1"/>
    </cacheField>
    <cacheField name="ACS" numFmtId="0">
      <sharedItems containsNonDate="0" containsString="0" containsBlank="1"/>
    </cacheField>
    <cacheField name="Notes" numFmtId="0">
      <sharedItems containsNonDate="0" containsString="0" containsBlank="1"/>
    </cacheField>
    <cacheField name="TColor" numFmtId="0">
      <sharedItems containsNonDate="0" containsString="0" containsBlank="1"/>
    </cacheField>
    <cacheField name="TPColor" numFmtId="0">
      <sharedItems containsNonDate="0" containsString="0" containsBlank="1"/>
    </cacheField>
    <cacheField name="BLColor" numFmtId="0">
      <sharedItems containsNonDate="0" containsString="0" containsBlank="1"/>
    </cacheField>
    <cacheField name="ACColor" numFmtId="0">
      <sharedItems containsNonDate="0" containsString="0"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unt="2">
        <b v="1"/>
        <b v="0" u="1"/>
      </sharedItems>
    </cacheField>
    <cacheField name="Months" numFmtId="0" databaseField="0">
      <fieldGroup base="21">
        <rangePr groupBy="months" startDate="2021-08-05T00:00:00" endDate="2021-08-21T00:00:00"/>
        <groupItems count="14">
          <s v="&lt;8/5/2021"/>
          <s v="Jan"/>
          <s v="Feb"/>
          <s v="Mar"/>
          <s v="Apr"/>
          <s v="May"/>
          <s v="Jun"/>
          <s v="Jul"/>
          <s v="Aug"/>
          <s v="Sep"/>
          <s v="Oct"/>
          <s v="Nov"/>
          <s v="Dec"/>
          <s v="&gt;8/21/2021"/>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n v="1"/>
    <x v="0"/>
    <x v="0"/>
    <n v="1"/>
    <m/>
    <m/>
    <m/>
    <m/>
    <n v="0"/>
    <m/>
    <s v="u"/>
    <n v="1"/>
    <s v="Type here or double click to edit in form"/>
    <x v="0"/>
    <x v="0"/>
    <x v="0"/>
    <m/>
    <m/>
    <m/>
    <m/>
    <d v="2021-08-08T00:00:00"/>
    <x v="0"/>
    <n v="10"/>
    <m/>
    <n v="100"/>
    <n v="1"/>
    <m/>
    <m/>
    <m/>
    <m/>
    <m/>
    <m/>
    <m/>
    <m/>
    <m/>
    <m/>
    <m/>
    <m/>
    <m/>
    <m/>
    <m/>
    <m/>
    <m/>
    <m/>
    <m/>
    <m/>
    <m/>
    <m/>
    <m/>
    <m/>
    <m/>
    <m/>
    <m/>
    <m/>
    <m/>
    <m/>
    <m/>
    <m/>
    <x v="0"/>
  </r>
  <r>
    <n v="1"/>
    <x v="0"/>
    <x v="0"/>
    <n v="4"/>
    <m/>
    <m/>
    <m/>
    <m/>
    <n v="0"/>
    <m/>
    <s v="u"/>
    <n v="2"/>
    <s v="Type here or double click to edit in form"/>
    <x v="1"/>
    <x v="1"/>
    <x v="0"/>
    <m/>
    <m/>
    <m/>
    <m/>
    <d v="2021-08-08T00:00:00"/>
    <x v="0"/>
    <n v="10"/>
    <m/>
    <n v="0"/>
    <n v="0.5"/>
    <m/>
    <m/>
    <m/>
    <m/>
    <m/>
    <m/>
    <m/>
    <m/>
    <m/>
    <m/>
    <m/>
    <m/>
    <m/>
    <m/>
    <m/>
    <m/>
    <m/>
    <m/>
    <m/>
    <m/>
    <m/>
    <m/>
    <m/>
    <m/>
    <m/>
    <m/>
    <m/>
    <m/>
    <m/>
    <m/>
    <m/>
    <m/>
    <x v="0"/>
  </r>
  <r>
    <n v="1"/>
    <x v="0"/>
    <x v="0"/>
    <n v="3"/>
    <m/>
    <m/>
    <m/>
    <m/>
    <n v="0"/>
    <m/>
    <s v="u"/>
    <n v="3"/>
    <s v="Type here or double click to edit in form"/>
    <x v="2"/>
    <x v="2"/>
    <x v="0"/>
    <m/>
    <m/>
    <m/>
    <m/>
    <d v="2021-08-08T00:00:00"/>
    <x v="0"/>
    <n v="10"/>
    <m/>
    <n v="0"/>
    <n v="0"/>
    <m/>
    <m/>
    <m/>
    <m/>
    <m/>
    <m/>
    <m/>
    <m/>
    <m/>
    <m/>
    <m/>
    <m/>
    <m/>
    <m/>
    <m/>
    <m/>
    <m/>
    <m/>
    <m/>
    <m/>
    <m/>
    <m/>
    <m/>
    <m/>
    <m/>
    <m/>
    <m/>
    <m/>
    <m/>
    <m/>
    <m/>
    <m/>
    <x v="0"/>
  </r>
  <r>
    <n v="1"/>
    <x v="0"/>
    <x v="0"/>
    <n v="2"/>
    <m/>
    <m/>
    <m/>
    <m/>
    <n v="0"/>
    <m/>
    <s v="u"/>
    <n v="4"/>
    <s v="Type here or double click to edit in form"/>
    <x v="0"/>
    <x v="3"/>
    <x v="0"/>
    <m/>
    <m/>
    <m/>
    <m/>
    <d v="2021-08-02T00:00:00"/>
    <x v="1"/>
    <n v="4"/>
    <m/>
    <n v="0"/>
    <n v="0"/>
    <m/>
    <m/>
    <m/>
    <m/>
    <m/>
    <m/>
    <m/>
    <m/>
    <m/>
    <m/>
    <m/>
    <m/>
    <m/>
    <m/>
    <m/>
    <m/>
    <m/>
    <m/>
    <m/>
    <m/>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T2"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9">
  <location ref="K4:L7"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3"/>
  </rowFields>
  <rowItems count="3">
    <i>
      <x/>
    </i>
    <i>
      <x v="1"/>
    </i>
    <i>
      <x v="2"/>
    </i>
  </rowItems>
  <colItems count="1">
    <i/>
  </colItems>
  <pageFields count="2">
    <pageField fld="58" hier="-1"/>
    <pageField fld="1" hier="-1"/>
  </pageFields>
  <dataFields count="1">
    <dataField name="Count of tID" fld="3" subtotal="count" baseField="0" baseItem="0"/>
  </dataFields>
  <chartFormats count="10">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T3"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94">
  <location ref="U4:V7" firstHeaderRow="1" firstDataRow="1" firstDataCol="1" rowPageCount="2" colPageCount="1"/>
  <pivotFields count="60">
    <pivotField showAll="0"/>
    <pivotField axis="axisPage" showAll="0">
      <items count="8">
        <item h="1" m="1" x="3"/>
        <item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8" hier="-1"/>
    <pageField fld="1" hier="-1"/>
  </pageFields>
  <dataFields count="3">
    <dataField name="Baseline Cost" fld="29" baseField="0" baseItem="0" numFmtId="164"/>
    <dataField name="Estimated Cost" fld="30" baseField="0" baseItem="0" numFmtId="164"/>
    <dataField name="Actual Cost" fld="31" baseField="0" baseItem="0" numFmtId="164"/>
  </dataFields>
  <chartFormats count="7">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T6"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axis="axisRow" showAll="0">
      <items count="39">
        <item m="1" x="30"/>
        <item m="1" x="1"/>
        <item m="1" x="26"/>
        <item m="1" x="16"/>
        <item m="1" x="10"/>
        <item m="1" x="37"/>
        <item m="1" x="11"/>
        <item m="1" x="28"/>
        <item m="1" x="18"/>
        <item m="1" x="31"/>
        <item m="1" x="23"/>
        <item x="0"/>
        <item m="1" x="35"/>
        <item m="1" x="33"/>
        <item m="1" x="7"/>
        <item m="1" x="14"/>
        <item m="1" x="27"/>
        <item m="1" x="4"/>
        <item m="1" x="36"/>
        <item m="1" x="22"/>
        <item m="1" x="19"/>
        <item m="1" x="29"/>
        <item m="1" x="20"/>
        <item m="1" x="13"/>
        <item m="1" x="12"/>
        <item m="1" x="6"/>
        <item m="1" x="2"/>
        <item m="1" x="3"/>
        <item m="1" x="17"/>
        <item m="1" x="24"/>
        <item m="1" x="9"/>
        <item m="1" x="8"/>
        <item m="1" x="15"/>
        <item m="1" x="5"/>
        <item m="1" x="32"/>
        <item m="1" x="21"/>
        <item m="1" x="25"/>
        <item m="1" x="34"/>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T1"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3">
  <location ref="A4:B8"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axis="axisRow"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4"/>
  </rowFields>
  <rowItems count="4">
    <i>
      <x/>
    </i>
    <i>
      <x v="1"/>
    </i>
    <i>
      <x v="2"/>
    </i>
    <i>
      <x v="3"/>
    </i>
  </rowItems>
  <colItems count="1">
    <i/>
  </colItems>
  <pageFields count="2">
    <pageField fld="58" hier="-1"/>
    <pageField fld="1" hier="-1"/>
  </pageFields>
  <dataFields count="1">
    <dataField name="Count of tID" fld="3" subtotal="count" baseField="0" baseItem="0"/>
  </dataFields>
  <chartFormats count="11">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T5"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6"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2">
    <i>
      <x v="217"/>
    </i>
    <i>
      <x v="232"/>
    </i>
  </rowItems>
  <colItems count="1">
    <i/>
  </colItems>
  <pageFields count="2">
    <pageField fld="58"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T8"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T7"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T4"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60">
    <pivotField showAll="0"/>
    <pivotField showAll="0"/>
    <pivotField axis="axisPage" showAll="0">
      <items count="3">
        <item m="1"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iority"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tatus"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3" s="1"/>
        <i x="2"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Resource"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38">
        <i x="0" s="1"/>
        <i x="15" s="1" nd="1"/>
        <i x="8" s="1" nd="1"/>
        <i x="30" s="1" nd="1"/>
        <i x="27" s="1" nd="1"/>
        <i x="29" s="1" nd="1"/>
        <i x="19" s="1" nd="1"/>
        <i x="22" s="1" nd="1"/>
        <i x="12" s="1" nd="1"/>
        <i x="33" s="1" nd="1"/>
        <i x="1" s="1" nd="1"/>
        <i x="21" s="1" nd="1"/>
        <i x="32" s="1" nd="1"/>
        <i x="4" s="1" nd="1"/>
        <i x="26" s="1" nd="1"/>
        <i x="9" s="1" nd="1"/>
        <i x="16" s="1" nd="1"/>
        <i x="10" s="1" nd="1"/>
        <i x="17" s="1" nd="1"/>
        <i x="20" s="1" nd="1"/>
        <i x="37" s="1" nd="1"/>
        <i x="11" s="1" nd="1"/>
        <i x="28" s="1" nd="1"/>
        <i x="3" s="1" nd="1"/>
        <i x="5" s="1" nd="1"/>
        <i x="24" s="1" nd="1"/>
        <i x="25" s="1" nd="1"/>
        <i x="34" s="1" nd="1"/>
        <i x="6" s="1" nd="1"/>
        <i x="18" s="1" nd="1"/>
        <i x="31" s="1" nd="1"/>
        <i x="14" s="1" nd="1"/>
        <i x="36" s="1" nd="1"/>
        <i x="7" s="1" nd="1"/>
        <i x="35" s="1" nd="1"/>
        <i x="13" s="1" nd="1"/>
        <i x="2" s="1" nd="1"/>
        <i x="2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iority" cache="Slicer_Priority" caption="Priority" style="SlicerStyleLight2" rowHeight="241300"/>
  <slicer name="Status" cache="Slicer_Status" caption="Status" style="SlicerStyleLight6" rowHeight="241300"/>
  <slicer name="Resource" cache="Slicer_Resource" caption="Resource" style="SlicerStyleLight4" rowHeight="241300"/>
</slicers>
</file>

<file path=xl/tables/table1.xml><?xml version="1.0" encoding="utf-8"?>
<table xmlns="http://schemas.openxmlformats.org/spreadsheetml/2006/main" id="2" name="DashboardTable" displayName="DashboardTable" ref="A1:BG5" totalsRowShown="0">
  <autoFilter ref="A1:BG5"/>
  <tableColumns count="59">
    <tableColumn id="1" name="ProjectID"/>
    <tableColumn id="2" name="dType"/>
    <tableColumn id="3" name="GEType"/>
    <tableColumn id="4" name="TID"/>
    <tableColumn id="5" name="Dependency"/>
    <tableColumn id="6" name="Dependents"/>
    <tableColumn id="7" name="StartConstrain"/>
    <tableColumn id="8" name="EndConstrain"/>
    <tableColumn id="9" name="TIL"/>
    <tableColumn id="10" name="SS"/>
    <tableColumn id="11" name="TaskIcon"/>
    <tableColumn id="12" name="WBS"/>
    <tableColumn id="13" name="Task"/>
    <tableColumn id="14" name="Priority"/>
    <tableColumn id="15" name="Status"/>
    <tableColumn id="16" name="Resource"/>
    <tableColumn id="17" name="ResourceCost"/>
    <tableColumn id="18" name="BSD"/>
    <tableColumn id="19" name="BED"/>
    <tableColumn id="20" name="BD"/>
    <tableColumn id="21" name="ESD" dataDxfId="2"/>
    <tableColumn id="22" name="EED" dataDxfId="1"/>
    <tableColumn id="23" name="ED"/>
    <tableColumn id="24" name="Work"/>
    <tableColumn id="25" name="Done"/>
    <tableColumn id="26" name="PercentageCompleted"/>
    <tableColumn id="27" name="ASD"/>
    <tableColumn id="28" name="AED"/>
    <tableColumn id="29" name="AD"/>
    <tableColumn id="30" name="BCS"/>
    <tableColumn id="31" name="ECS"/>
    <tableColumn id="32" name="ACS"/>
    <tableColumn id="33" name="Notes"/>
    <tableColumn id="34" name="TColor"/>
    <tableColumn id="35" name="TPColor"/>
    <tableColumn id="36" name="BLColor"/>
    <tableColumn id="37" name="ACColor"/>
    <tableColumn id="38" name="Custom 1"/>
    <tableColumn id="39" name="Custom 2"/>
    <tableColumn id="40" name="Custom 3"/>
    <tableColumn id="41" name="Custom 4"/>
    <tableColumn id="42" name="Custom 5"/>
    <tableColumn id="43" name="Custom 6"/>
    <tableColumn id="44" name="Custom 7"/>
    <tableColumn id="45" name="Custom 8"/>
    <tableColumn id="46" name="Custom 9"/>
    <tableColumn id="47" name="Custom 10"/>
    <tableColumn id="48" name="Custom 11"/>
    <tableColumn id="49" name="Custom 12"/>
    <tableColumn id="50" name="Custom 13"/>
    <tableColumn id="51" name="Custom 14"/>
    <tableColumn id="52" name="Custom 15"/>
    <tableColumn id="53" name="Custom 16"/>
    <tableColumn id="54" name="Custom 17"/>
    <tableColumn id="55" name="Custom 18"/>
    <tableColumn id="56" name="Custom 19"/>
    <tableColumn id="57" name="Custom 20"/>
    <tableColumn id="58" name="LC"/>
    <tableColumn id="59"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name="NativeTimeline_EED"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EED 2" cache="NativeTimeline_EED" caption="Task Due Date" level="2" selectionLevel="2" scrollPosition="2021-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amp;utm_medium=97869268239790314190314197869090196294864013771059744140" TargetMode="External"/><Relationship Id="rId2" Type="http://schemas.openxmlformats.org/officeDocument/2006/relationships/hyperlink" Target="https://www.ganttexcel.com/documentation/?utm_source=xlc&amp;utm_medium=97869268239790314190314197869090196294864013771059744140" TargetMode="External"/><Relationship Id="rId1" Type="http://schemas.openxmlformats.org/officeDocument/2006/relationships/hyperlink" Target="https://www.ganttexcel.com/documentation/enable-macros/?utm_source=xlc&amp;utm_medium=97869268239790314190314197869090196294864013771059744140" TargetMode="External"/><Relationship Id="rId5" Type="http://schemas.openxmlformats.org/officeDocument/2006/relationships/drawing" Target="../drawings/drawing6.xml"/><Relationship Id="rId4"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DD"/>
  <dimension ref="A1:BG5"/>
  <sheetViews>
    <sheetView workbookViewId="0">
      <selection activeCell="B33" sqref="B33"/>
    </sheetView>
  </sheetViews>
  <sheetFormatPr defaultRowHeight="15" x14ac:dyDescent="0.25"/>
  <cols>
    <col min="1" max="4" width="12.85546875" customWidth="1"/>
    <col min="5" max="5" width="15" customWidth="1"/>
    <col min="6" max="6" width="14.7109375" customWidth="1"/>
    <col min="7" max="7" width="16.42578125" customWidth="1"/>
    <col min="8" max="8" width="15.5703125" customWidth="1"/>
    <col min="9" max="16" width="12.85546875" customWidth="1"/>
    <col min="17" max="17" width="15.140625" customWidth="1"/>
    <col min="18" max="23" width="12.85546875" customWidth="1"/>
    <col min="24" max="24" width="13" customWidth="1"/>
    <col min="25" max="26" width="23" customWidth="1"/>
    <col min="27" max="57" width="12.85546875" customWidth="1"/>
    <col min="58" max="61" width="11" customWidth="1"/>
  </cols>
  <sheetData>
    <row r="1" spans="1:59" x14ac:dyDescent="0.25">
      <c r="A1" t="s">
        <v>170</v>
      </c>
      <c r="B1" t="s">
        <v>171</v>
      </c>
      <c r="C1" t="s">
        <v>234</v>
      </c>
      <c r="D1" t="s">
        <v>226</v>
      </c>
      <c r="E1" t="s">
        <v>227</v>
      </c>
      <c r="F1" t="s">
        <v>228</v>
      </c>
      <c r="G1" t="s">
        <v>229</v>
      </c>
      <c r="H1" t="s">
        <v>230</v>
      </c>
      <c r="I1" t="s">
        <v>160</v>
      </c>
      <c r="J1" t="s">
        <v>161</v>
      </c>
      <c r="K1" t="s">
        <v>231</v>
      </c>
      <c r="L1" t="s">
        <v>27</v>
      </c>
      <c r="M1" t="s">
        <v>26</v>
      </c>
      <c r="N1" t="s">
        <v>137</v>
      </c>
      <c r="O1" t="s">
        <v>138</v>
      </c>
      <c r="P1" t="s">
        <v>225</v>
      </c>
      <c r="Q1" t="s">
        <v>232</v>
      </c>
      <c r="R1" t="s">
        <v>25</v>
      </c>
      <c r="S1" t="s">
        <v>24</v>
      </c>
      <c r="T1" t="s">
        <v>23</v>
      </c>
      <c r="U1" t="s">
        <v>22</v>
      </c>
      <c r="V1" t="s">
        <v>20</v>
      </c>
      <c r="W1" t="s">
        <v>18</v>
      </c>
      <c r="X1" t="s">
        <v>223</v>
      </c>
      <c r="Y1" t="s">
        <v>233</v>
      </c>
      <c r="Z1" t="s">
        <v>17</v>
      </c>
      <c r="AA1" t="s">
        <v>21</v>
      </c>
      <c r="AB1" t="s">
        <v>19</v>
      </c>
      <c r="AC1" t="s">
        <v>16</v>
      </c>
      <c r="AD1" t="s">
        <v>15</v>
      </c>
      <c r="AE1" t="s">
        <v>14</v>
      </c>
      <c r="AF1" t="s">
        <v>13</v>
      </c>
      <c r="AG1" t="s">
        <v>12</v>
      </c>
      <c r="AH1" t="s">
        <v>162</v>
      </c>
      <c r="AI1" t="s">
        <v>163</v>
      </c>
      <c r="AJ1" t="s">
        <v>164</v>
      </c>
      <c r="AK1" t="s">
        <v>165</v>
      </c>
      <c r="AL1" t="s">
        <v>172</v>
      </c>
      <c r="AM1" t="s">
        <v>173</v>
      </c>
      <c r="AN1" t="s">
        <v>174</v>
      </c>
      <c r="AO1" t="s">
        <v>175</v>
      </c>
      <c r="AP1" t="s">
        <v>176</v>
      </c>
      <c r="AQ1" t="s">
        <v>177</v>
      </c>
      <c r="AR1" t="s">
        <v>178</v>
      </c>
      <c r="AS1" t="s">
        <v>179</v>
      </c>
      <c r="AT1" t="s">
        <v>180</v>
      </c>
      <c r="AU1" t="s">
        <v>181</v>
      </c>
      <c r="AV1" t="s">
        <v>182</v>
      </c>
      <c r="AW1" t="s">
        <v>183</v>
      </c>
      <c r="AX1" t="s">
        <v>184</v>
      </c>
      <c r="AY1" t="s">
        <v>185</v>
      </c>
      <c r="AZ1" t="s">
        <v>186</v>
      </c>
      <c r="BA1" t="s">
        <v>187</v>
      </c>
      <c r="BB1" t="s">
        <v>188</v>
      </c>
      <c r="BC1" t="s">
        <v>189</v>
      </c>
      <c r="BD1" t="s">
        <v>190</v>
      </c>
      <c r="BE1" t="s">
        <v>191</v>
      </c>
      <c r="BF1" t="s">
        <v>166</v>
      </c>
      <c r="BG1" s="130" t="s">
        <v>215</v>
      </c>
    </row>
    <row r="2" spans="1:59" x14ac:dyDescent="0.25">
      <c r="A2">
        <v>1</v>
      </c>
      <c r="B2" t="s">
        <v>167</v>
      </c>
      <c r="C2" t="s">
        <v>167</v>
      </c>
      <c r="D2">
        <v>1</v>
      </c>
      <c r="I2">
        <v>0</v>
      </c>
      <c r="K2" t="s">
        <v>169</v>
      </c>
      <c r="L2">
        <v>1</v>
      </c>
      <c r="M2" t="s">
        <v>243</v>
      </c>
      <c r="N2" t="s">
        <v>168</v>
      </c>
      <c r="O2" t="s">
        <v>56</v>
      </c>
      <c r="U2" s="89">
        <v>44416</v>
      </c>
      <c r="V2" s="89">
        <v>44428</v>
      </c>
      <c r="W2">
        <v>10</v>
      </c>
      <c r="Y2">
        <v>100</v>
      </c>
      <c r="Z2">
        <v>1</v>
      </c>
      <c r="BG2" s="130" t="e">
        <f>DashboardTable[[#This Row],[ProjectID]]=#REF!</f>
        <v>#REF!</v>
      </c>
    </row>
    <row r="3" spans="1:59" x14ac:dyDescent="0.25">
      <c r="A3">
        <v>1</v>
      </c>
      <c r="B3" t="s">
        <v>167</v>
      </c>
      <c r="C3" t="s">
        <v>167</v>
      </c>
      <c r="D3">
        <v>4</v>
      </c>
      <c r="I3">
        <v>0</v>
      </c>
      <c r="K3" t="s">
        <v>169</v>
      </c>
      <c r="L3">
        <v>2</v>
      </c>
      <c r="M3" t="s">
        <v>243</v>
      </c>
      <c r="N3" t="s">
        <v>237</v>
      </c>
      <c r="O3" t="s">
        <v>244</v>
      </c>
      <c r="U3" s="89">
        <v>44416</v>
      </c>
      <c r="V3" s="89">
        <v>44428</v>
      </c>
      <c r="W3">
        <v>10</v>
      </c>
      <c r="Y3">
        <v>0</v>
      </c>
      <c r="Z3">
        <v>0.5</v>
      </c>
      <c r="BG3" s="130" t="e">
        <f>DashboardTable[[#This Row],[ProjectID]]=#REF!</f>
        <v>#REF!</v>
      </c>
    </row>
    <row r="4" spans="1:59" x14ac:dyDescent="0.25">
      <c r="A4">
        <v>1</v>
      </c>
      <c r="B4" t="s">
        <v>167</v>
      </c>
      <c r="C4" t="s">
        <v>167</v>
      </c>
      <c r="D4">
        <v>3</v>
      </c>
      <c r="I4">
        <v>0</v>
      </c>
      <c r="K4" t="s">
        <v>169</v>
      </c>
      <c r="L4">
        <v>3</v>
      </c>
      <c r="M4" t="s">
        <v>243</v>
      </c>
      <c r="N4" t="s">
        <v>236</v>
      </c>
      <c r="O4" t="s">
        <v>58</v>
      </c>
      <c r="U4" s="89">
        <v>44416</v>
      </c>
      <c r="V4" s="89">
        <v>44428</v>
      </c>
      <c r="W4">
        <v>10</v>
      </c>
      <c r="Y4">
        <v>0</v>
      </c>
      <c r="Z4">
        <v>0</v>
      </c>
      <c r="BG4" s="130" t="e">
        <f>DashboardTable[[#This Row],[ProjectID]]=#REF!</f>
        <v>#REF!</v>
      </c>
    </row>
    <row r="5" spans="1:59" x14ac:dyDescent="0.25">
      <c r="A5">
        <v>1</v>
      </c>
      <c r="B5" t="s">
        <v>167</v>
      </c>
      <c r="C5" t="s">
        <v>167</v>
      </c>
      <c r="D5">
        <v>2</v>
      </c>
      <c r="I5">
        <v>0</v>
      </c>
      <c r="K5" t="s">
        <v>169</v>
      </c>
      <c r="L5">
        <v>4</v>
      </c>
      <c r="M5" t="s">
        <v>243</v>
      </c>
      <c r="N5" t="s">
        <v>168</v>
      </c>
      <c r="O5" t="s">
        <v>59</v>
      </c>
      <c r="U5" s="89">
        <v>44410</v>
      </c>
      <c r="V5" s="89">
        <v>44413</v>
      </c>
      <c r="W5">
        <v>4</v>
      </c>
      <c r="Y5">
        <v>0</v>
      </c>
      <c r="Z5">
        <v>0</v>
      </c>
      <c r="BG5" s="130" t="e">
        <f>DashboardTable[[#This Row],[ProjectID]]=#REF!</f>
        <v>#REF!</v>
      </c>
    </row>
  </sheetData>
  <phoneticPr fontId="24"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ST"/>
  <dimension ref="A1:LW10"/>
  <sheetViews>
    <sheetView workbookViewId="0">
      <selection activeCell="G26" sqref="G26"/>
    </sheetView>
  </sheetViews>
  <sheetFormatPr defaultColWidth="9.140625" defaultRowHeight="15" x14ac:dyDescent="0.25"/>
  <cols>
    <col min="1" max="1" width="9.140625" style="52"/>
    <col min="2" max="2" width="9.140625" style="63"/>
    <col min="3" max="11" width="9.140625" style="52"/>
    <col min="12" max="12" width="14.85546875" style="87" customWidth="1"/>
    <col min="13" max="13" width="14.85546875" style="88" customWidth="1"/>
    <col min="14" max="14" width="12.85546875" style="52" customWidth="1"/>
    <col min="15" max="19" width="9.140625" style="52"/>
    <col min="20" max="20" width="12.7109375" style="52" customWidth="1"/>
    <col min="21" max="27" width="9.140625" style="52"/>
    <col min="28" max="28" width="19.7109375" style="52" customWidth="1"/>
    <col min="29" max="45" width="9.140625" style="52"/>
    <col min="46" max="46" width="9.140625" style="88"/>
    <col min="47" max="64" width="9.140625" style="52"/>
    <col min="65" max="65" width="9.140625" style="57"/>
    <col min="66" max="71" width="9.140625" style="60"/>
    <col min="72" max="102" width="9.140625" style="52"/>
    <col min="103" max="103" width="9.140625" style="62"/>
    <col min="104" max="313" width="9.140625" style="52"/>
    <col min="314" max="325" width="9.140625" style="62"/>
    <col min="326" max="16384" width="9.140625" style="52"/>
  </cols>
  <sheetData>
    <row r="1" spans="1:335" x14ac:dyDescent="0.25">
      <c r="A1" s="11" t="s">
        <v>132</v>
      </c>
      <c r="B1" s="11" t="s">
        <v>146</v>
      </c>
      <c r="C1" s="9" t="s">
        <v>42</v>
      </c>
      <c r="D1" s="9" t="s">
        <v>62</v>
      </c>
      <c r="E1" s="9" t="s">
        <v>45</v>
      </c>
      <c r="F1" s="9" t="s">
        <v>53</v>
      </c>
      <c r="G1" s="9" t="s">
        <v>4</v>
      </c>
      <c r="H1" s="9" t="s">
        <v>6</v>
      </c>
      <c r="I1" s="9" t="s">
        <v>55</v>
      </c>
      <c r="J1" s="9" t="s">
        <v>54</v>
      </c>
      <c r="K1" s="9" t="s">
        <v>71</v>
      </c>
      <c r="L1" s="9" t="s">
        <v>148</v>
      </c>
      <c r="M1" s="9" t="s">
        <v>149</v>
      </c>
      <c r="N1" s="9" t="s">
        <v>64</v>
      </c>
      <c r="O1" s="9" t="s">
        <v>65</v>
      </c>
      <c r="P1" s="9" t="s">
        <v>51</v>
      </c>
      <c r="Q1" s="9" t="s">
        <v>50</v>
      </c>
      <c r="R1" s="9" t="s">
        <v>49</v>
      </c>
      <c r="S1" s="9" t="s">
        <v>48</v>
      </c>
      <c r="T1" s="9" t="s">
        <v>120</v>
      </c>
      <c r="U1" s="9" t="s">
        <v>121</v>
      </c>
      <c r="V1" s="9" t="s">
        <v>122</v>
      </c>
      <c r="W1" s="9" t="s">
        <v>123</v>
      </c>
      <c r="X1" s="9" t="s">
        <v>124</v>
      </c>
      <c r="Y1" s="9" t="s">
        <v>41</v>
      </c>
      <c r="Z1" s="9" t="s">
        <v>40</v>
      </c>
      <c r="AA1" s="9" t="s">
        <v>43</v>
      </c>
      <c r="AB1" s="9" t="s">
        <v>135</v>
      </c>
      <c r="AC1" s="9" t="s">
        <v>52</v>
      </c>
      <c r="AD1" s="9" t="s">
        <v>47</v>
      </c>
      <c r="AE1" s="9" t="s">
        <v>36</v>
      </c>
      <c r="AF1" s="9" t="s">
        <v>35</v>
      </c>
      <c r="AG1" s="9" t="s">
        <v>34</v>
      </c>
      <c r="AH1" s="9" t="s">
        <v>33</v>
      </c>
      <c r="AI1" s="9" t="s">
        <v>32</v>
      </c>
      <c r="AJ1" s="9" t="s">
        <v>31</v>
      </c>
      <c r="AK1" s="9" t="s">
        <v>30</v>
      </c>
      <c r="AL1" s="9" t="s">
        <v>66</v>
      </c>
      <c r="AM1" s="9" t="s">
        <v>67</v>
      </c>
      <c r="AN1" s="9"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9" t="s">
        <v>100</v>
      </c>
      <c r="BV1" s="9" t="s">
        <v>101</v>
      </c>
      <c r="BW1" s="9" t="s">
        <v>102</v>
      </c>
      <c r="BX1" s="9" t="s">
        <v>103</v>
      </c>
      <c r="BY1" s="9" t="s">
        <v>104</v>
      </c>
      <c r="BZ1" s="9" t="s">
        <v>105</v>
      </c>
      <c r="CA1" s="9" t="s">
        <v>106</v>
      </c>
      <c r="CB1" s="9" t="s">
        <v>107</v>
      </c>
      <c r="CC1" s="9" t="s">
        <v>108</v>
      </c>
      <c r="CD1" s="9" t="s">
        <v>109</v>
      </c>
      <c r="CE1" s="9" t="s">
        <v>110</v>
      </c>
      <c r="CF1" s="9" t="s">
        <v>112</v>
      </c>
      <c r="CG1" s="9" t="s">
        <v>111</v>
      </c>
      <c r="CH1" s="9" t="s">
        <v>115</v>
      </c>
      <c r="CI1" s="9" t="s">
        <v>117</v>
      </c>
      <c r="CJ1" s="9" t="s">
        <v>118</v>
      </c>
      <c r="CK1" s="9" t="s">
        <v>119</v>
      </c>
      <c r="CL1" s="9" t="s">
        <v>109</v>
      </c>
      <c r="CM1" s="9" t="s">
        <v>110</v>
      </c>
      <c r="CN1" s="9" t="s">
        <v>112</v>
      </c>
      <c r="CO1" s="9" t="s">
        <v>111</v>
      </c>
      <c r="CP1" s="9" t="s">
        <v>115</v>
      </c>
      <c r="CQ1" s="9" t="s">
        <v>117</v>
      </c>
      <c r="CR1" s="9" t="s">
        <v>118</v>
      </c>
      <c r="CS1" s="9" t="s">
        <v>119</v>
      </c>
      <c r="CT1" s="12" t="s">
        <v>133</v>
      </c>
      <c r="CU1" s="12" t="s">
        <v>128</v>
      </c>
      <c r="CV1" s="12" t="s">
        <v>134</v>
      </c>
      <c r="CW1" s="12" t="s">
        <v>131</v>
      </c>
      <c r="CX1" s="12" t="s">
        <v>130</v>
      </c>
      <c r="CY1" s="12" t="s">
        <v>147</v>
      </c>
      <c r="CZ1" s="12" t="s">
        <v>155</v>
      </c>
      <c r="DA1" s="12" t="s">
        <v>154</v>
      </c>
      <c r="DB1" s="12" t="s">
        <v>153</v>
      </c>
      <c r="DC1" s="12" t="s">
        <v>152</v>
      </c>
      <c r="DD1" s="12" t="s">
        <v>159</v>
      </c>
      <c r="LO1" s="12" t="s">
        <v>46</v>
      </c>
      <c r="LP1" s="12" t="s">
        <v>44</v>
      </c>
      <c r="LQ1" s="12" t="s">
        <v>39</v>
      </c>
      <c r="LR1" s="12" t="s">
        <v>38</v>
      </c>
      <c r="LS1" s="12" t="s">
        <v>37</v>
      </c>
      <c r="LT1" s="12" t="s">
        <v>60</v>
      </c>
      <c r="LU1" s="12" t="s">
        <v>61</v>
      </c>
      <c r="LV1" s="12" t="s">
        <v>72</v>
      </c>
      <c r="LW1" s="12"/>
    </row>
    <row r="2" spans="1:335" x14ac:dyDescent="0.25">
      <c r="A2" s="10" t="s">
        <v>113</v>
      </c>
      <c r="B2" s="10">
        <v>1</v>
      </c>
      <c r="C2" s="9" t="s">
        <v>28</v>
      </c>
      <c r="D2" s="9" t="s">
        <v>63</v>
      </c>
      <c r="E2" s="9" t="b">
        <v>1</v>
      </c>
      <c r="F2" s="13" t="s">
        <v>8</v>
      </c>
      <c r="G2" s="14">
        <v>20000</v>
      </c>
      <c r="H2" s="14">
        <v>10000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9" t="b">
        <v>1</v>
      </c>
      <c r="Z2" s="9" t="b">
        <v>0</v>
      </c>
      <c r="AA2" s="9">
        <v>0</v>
      </c>
      <c r="AB2" s="13">
        <v>1</v>
      </c>
      <c r="AC2" s="13" t="s">
        <v>29</v>
      </c>
      <c r="AD2" s="13">
        <v>1</v>
      </c>
      <c r="AE2" s="9" t="b">
        <v>0</v>
      </c>
      <c r="AF2" s="9">
        <v>20</v>
      </c>
      <c r="AG2" s="51" t="s">
        <v>127</v>
      </c>
      <c r="AH2" s="9" t="s">
        <v>26</v>
      </c>
      <c r="AI2" s="9" t="b">
        <v>1</v>
      </c>
      <c r="AJ2" s="9" t="b">
        <v>0</v>
      </c>
      <c r="AK2" s="9" t="b">
        <v>0</v>
      </c>
      <c r="AL2" s="9" t="s">
        <v>68</v>
      </c>
      <c r="AM2" s="9" t="s">
        <v>69</v>
      </c>
      <c r="AN2" s="9"/>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10">
        <v>56</v>
      </c>
      <c r="BU2" s="27">
        <v>35</v>
      </c>
      <c r="BV2" s="9">
        <v>6</v>
      </c>
      <c r="BW2" s="9">
        <v>2</v>
      </c>
      <c r="BX2" s="9">
        <v>2</v>
      </c>
      <c r="BY2" s="9">
        <v>3</v>
      </c>
      <c r="BZ2" s="9">
        <v>2</v>
      </c>
      <c r="CA2" s="9">
        <v>3</v>
      </c>
      <c r="CB2" s="9">
        <v>3</v>
      </c>
      <c r="CC2" s="9">
        <v>6</v>
      </c>
      <c r="CD2" s="9">
        <v>8</v>
      </c>
      <c r="CE2" s="9">
        <v>10</v>
      </c>
      <c r="CF2" s="9">
        <v>12</v>
      </c>
      <c r="CG2" s="9">
        <v>15</v>
      </c>
      <c r="CH2" s="9" t="b">
        <v>1</v>
      </c>
      <c r="CI2" s="13" t="b">
        <v>1</v>
      </c>
      <c r="CJ2" s="15">
        <v>43647</v>
      </c>
      <c r="CK2" s="15">
        <v>43679</v>
      </c>
      <c r="CL2" s="9">
        <v>6</v>
      </c>
      <c r="CM2" s="9">
        <v>10</v>
      </c>
      <c r="CN2" s="9">
        <v>12</v>
      </c>
      <c r="CO2" s="9">
        <v>15</v>
      </c>
      <c r="CP2" s="9" t="b">
        <v>1</v>
      </c>
      <c r="CQ2" s="13" t="b">
        <v>1</v>
      </c>
      <c r="CR2" s="15">
        <v>43617</v>
      </c>
      <c r="CS2" s="15">
        <v>43672</v>
      </c>
      <c r="CT2" s="56" t="s">
        <v>129</v>
      </c>
      <c r="CU2" s="56" t="b">
        <v>1</v>
      </c>
      <c r="CV2" s="56" t="b">
        <v>1</v>
      </c>
      <c r="CW2" s="52" t="b">
        <v>1</v>
      </c>
      <c r="CX2" s="52" t="b">
        <v>1</v>
      </c>
      <c r="CY2" s="62" t="b">
        <v>1</v>
      </c>
      <c r="CZ2" s="52">
        <v>2000</v>
      </c>
      <c r="DA2" s="52">
        <v>2050</v>
      </c>
      <c r="DB2" s="89">
        <v>36526</v>
      </c>
      <c r="DC2" s="89">
        <v>54789</v>
      </c>
      <c r="DD2" s="89">
        <v>44657</v>
      </c>
      <c r="LO2" s="48">
        <v>1</v>
      </c>
      <c r="LP2" s="12" t="s">
        <v>245</v>
      </c>
      <c r="LQ2" s="49" t="s">
        <v>288</v>
      </c>
      <c r="LR2" s="49" t="s">
        <v>289</v>
      </c>
      <c r="LS2" s="49" t="s">
        <v>246</v>
      </c>
      <c r="LT2" s="12" t="s">
        <v>247</v>
      </c>
      <c r="LU2" s="12"/>
      <c r="LV2" s="50">
        <v>44657</v>
      </c>
    </row>
    <row r="3" spans="1:335" x14ac:dyDescent="0.25">
      <c r="A3" s="10"/>
      <c r="B3" s="10"/>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9"/>
      <c r="BU3" s="9"/>
      <c r="BV3" s="9"/>
      <c r="BW3" s="9"/>
      <c r="BX3" s="9"/>
      <c r="BY3" s="9"/>
      <c r="BZ3" s="9"/>
      <c r="CA3" s="9"/>
      <c r="CB3" s="9"/>
      <c r="CC3" s="9"/>
      <c r="CD3" s="9"/>
      <c r="CE3" s="9"/>
      <c r="CF3" s="9"/>
      <c r="CG3" s="9"/>
      <c r="CH3" s="9"/>
      <c r="CI3" s="9"/>
      <c r="CJ3" s="9"/>
      <c r="CK3" s="9"/>
      <c r="CL3" s="9"/>
      <c r="CM3" s="9"/>
      <c r="CN3" s="9"/>
      <c r="CO3" s="9"/>
      <c r="CP3" s="9"/>
      <c r="CQ3" s="9"/>
      <c r="CR3" s="9"/>
      <c r="CS3" s="9"/>
      <c r="CT3" s="56"/>
      <c r="CU3" s="56"/>
      <c r="CV3" s="56"/>
    </row>
    <row r="4" spans="1:335" x14ac:dyDescent="0.25">
      <c r="A4" s="10"/>
      <c r="B4" s="10"/>
      <c r="C4" s="9"/>
      <c r="D4" s="9"/>
      <c r="E4" s="9"/>
      <c r="F4" s="9"/>
      <c r="G4" s="9"/>
      <c r="H4" s="9"/>
      <c r="I4" s="9"/>
      <c r="J4" s="9"/>
      <c r="K4" s="9"/>
      <c r="L4" s="9"/>
      <c r="M4" s="9"/>
      <c r="N4" s="9"/>
      <c r="O4" s="9"/>
      <c r="P4" s="9"/>
      <c r="Q4"/>
      <c r="R4"/>
      <c r="S4"/>
      <c r="T4"/>
      <c r="U4"/>
      <c r="V4"/>
      <c r="W4" s="9"/>
      <c r="X4" s="9"/>
      <c r="Y4" s="9"/>
      <c r="Z4" s="9"/>
      <c r="AA4" s="9"/>
      <c r="AB4" s="9"/>
      <c r="AC4" s="9"/>
      <c r="AD4" s="9"/>
      <c r="AE4" s="9"/>
      <c r="AF4" s="9"/>
      <c r="AG4" s="9"/>
      <c r="AH4" s="9"/>
      <c r="AI4" s="9"/>
      <c r="AJ4" s="9"/>
      <c r="AK4" s="9"/>
      <c r="AL4" s="9"/>
      <c r="AM4" s="9"/>
      <c r="AN4" s="9"/>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9"/>
      <c r="BU4" s="9"/>
      <c r="BV4" s="9"/>
      <c r="BW4" s="9"/>
      <c r="BX4" s="9"/>
      <c r="BY4" s="9"/>
      <c r="BZ4" s="9"/>
      <c r="CA4" s="9"/>
      <c r="CB4" s="9"/>
      <c r="CC4" s="9"/>
      <c r="CD4" s="9"/>
      <c r="CE4" s="9"/>
      <c r="CF4" s="9"/>
      <c r="CG4" s="9"/>
      <c r="CH4" s="9"/>
      <c r="CI4" s="9"/>
      <c r="CJ4" s="9"/>
      <c r="CK4" s="9"/>
      <c r="CL4" s="9"/>
      <c r="CM4" s="9"/>
      <c r="CN4" s="9"/>
      <c r="CO4" s="9"/>
      <c r="CP4" s="9"/>
      <c r="CQ4" s="9"/>
      <c r="CR4" s="9"/>
      <c r="CS4" s="9"/>
      <c r="CT4" s="56"/>
      <c r="CU4" s="56"/>
      <c r="CV4" s="56"/>
    </row>
    <row r="5" spans="1:335" x14ac:dyDescent="0.25">
      <c r="A5" s="10"/>
      <c r="B5" s="10"/>
      <c r="C5" s="9"/>
      <c r="D5" s="9"/>
      <c r="E5" s="9"/>
      <c r="F5" s="9"/>
      <c r="G5" s="9"/>
      <c r="H5" s="9"/>
      <c r="I5" s="9"/>
      <c r="J5" s="9"/>
      <c r="K5" s="9"/>
      <c r="L5" s="9"/>
      <c r="M5" s="9"/>
      <c r="N5" s="9"/>
      <c r="O5" s="9"/>
      <c r="P5" s="9"/>
      <c r="Q5"/>
      <c r="R5"/>
      <c r="S5"/>
      <c r="T5"/>
      <c r="U5"/>
      <c r="V5"/>
      <c r="W5" s="9"/>
      <c r="X5" s="9"/>
      <c r="Y5" s="9"/>
      <c r="Z5" s="9"/>
      <c r="AA5" s="9"/>
      <c r="AB5" s="9"/>
      <c r="AC5" s="9"/>
      <c r="AD5" s="9"/>
      <c r="AE5" s="9"/>
      <c r="AF5" s="9"/>
      <c r="AG5" s="9"/>
      <c r="AH5" s="9"/>
      <c r="AI5" s="9"/>
      <c r="AJ5" s="9"/>
      <c r="AK5" s="9"/>
      <c r="AL5" s="9"/>
      <c r="AM5" s="9"/>
      <c r="AN5" s="9"/>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9"/>
      <c r="BU5" s="9"/>
      <c r="BV5" s="9"/>
      <c r="BW5" s="9"/>
      <c r="BX5" s="9"/>
      <c r="BY5" s="9"/>
      <c r="BZ5" s="9"/>
      <c r="CA5" s="9"/>
      <c r="CB5" s="9"/>
      <c r="CC5" s="9"/>
      <c r="CD5" s="9"/>
      <c r="CE5" s="9"/>
      <c r="CF5" s="9"/>
      <c r="CG5" s="9"/>
      <c r="CH5" s="9"/>
      <c r="CI5" s="9"/>
      <c r="CJ5" s="9"/>
      <c r="CK5" s="9"/>
      <c r="CL5" s="9"/>
      <c r="CM5" s="9"/>
      <c r="CN5" s="9"/>
      <c r="CO5" s="9"/>
      <c r="CP5" s="9"/>
      <c r="CQ5" s="9"/>
      <c r="CR5" s="9"/>
      <c r="CS5" s="9"/>
      <c r="CT5" s="56"/>
      <c r="CU5" s="56"/>
      <c r="CV5" s="56"/>
    </row>
    <row r="6" spans="1:335" x14ac:dyDescent="0.25">
      <c r="A6" s="10"/>
      <c r="B6" s="10"/>
      <c r="C6" s="10"/>
      <c r="D6" s="10"/>
      <c r="E6" s="10"/>
      <c r="F6" s="10"/>
      <c r="G6" s="10"/>
      <c r="H6" s="10"/>
      <c r="I6" s="10"/>
      <c r="J6" s="10"/>
      <c r="K6" s="10"/>
      <c r="L6" s="76"/>
      <c r="M6" s="76"/>
      <c r="N6" s="10"/>
      <c r="O6" s="10"/>
      <c r="P6" s="10"/>
      <c r="Q6"/>
      <c r="R6"/>
      <c r="S6"/>
      <c r="T6"/>
      <c r="U6"/>
      <c r="V6"/>
      <c r="W6" s="10"/>
      <c r="X6" s="10"/>
      <c r="Y6" s="10"/>
      <c r="Z6" s="10"/>
      <c r="AA6" s="10"/>
      <c r="AB6" s="10"/>
      <c r="AC6" s="10"/>
      <c r="AD6" s="10"/>
      <c r="AE6" s="10"/>
      <c r="AF6" s="10"/>
      <c r="AG6" s="10"/>
      <c r="AH6" s="10"/>
      <c r="AI6" s="10"/>
      <c r="AJ6" s="10"/>
      <c r="AK6" s="10"/>
      <c r="AL6" s="10"/>
      <c r="AM6" s="10"/>
      <c r="AN6" s="10"/>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56"/>
      <c r="CU6" s="56"/>
      <c r="CV6" s="56"/>
    </row>
    <row r="7" spans="1:335" x14ac:dyDescent="0.25">
      <c r="A7" s="10"/>
      <c r="B7" s="10"/>
      <c r="C7" s="10"/>
      <c r="D7" s="10"/>
      <c r="E7" s="10"/>
      <c r="F7" s="10"/>
      <c r="G7" s="10"/>
      <c r="H7" s="10"/>
      <c r="I7" s="10"/>
      <c r="J7" s="10"/>
      <c r="K7" s="10"/>
      <c r="L7" s="76"/>
      <c r="M7" s="76"/>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56"/>
      <c r="CU7" s="56"/>
      <c r="CV7" s="56"/>
    </row>
    <row r="8" spans="1:335" x14ac:dyDescent="0.25">
      <c r="A8" s="56"/>
      <c r="C8" s="56"/>
      <c r="D8" s="56"/>
      <c r="E8" s="56"/>
      <c r="F8" s="56"/>
      <c r="G8" s="56"/>
      <c r="H8" s="56"/>
      <c r="I8" s="56"/>
      <c r="J8" s="56"/>
      <c r="K8" s="56"/>
      <c r="N8" s="56"/>
      <c r="O8" s="56"/>
      <c r="P8" s="56"/>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U8" s="56"/>
      <c r="AV8" s="56"/>
      <c r="AW8" s="56"/>
      <c r="AX8" s="56"/>
      <c r="AY8" s="56"/>
      <c r="AZ8" s="56"/>
      <c r="BA8" s="56"/>
      <c r="BB8" s="56"/>
      <c r="BC8" s="56"/>
      <c r="BD8" s="56"/>
      <c r="BE8" s="56"/>
      <c r="BF8" s="56"/>
      <c r="BG8" s="56"/>
      <c r="BH8" s="56"/>
      <c r="BI8" s="56"/>
      <c r="BJ8" s="56"/>
      <c r="BK8" s="56"/>
      <c r="BL8" s="56"/>
      <c r="BT8" s="56"/>
      <c r="BU8" s="56"/>
      <c r="BV8" s="56"/>
      <c r="BW8" s="56"/>
      <c r="BX8" s="56"/>
      <c r="BY8" s="56"/>
      <c r="BZ8" s="56"/>
      <c r="CA8" s="56"/>
      <c r="CB8" s="56"/>
      <c r="CC8" s="56"/>
      <c r="CD8" s="56"/>
      <c r="CE8" s="56"/>
      <c r="CF8" s="56"/>
      <c r="CG8" s="56"/>
      <c r="CH8" s="56"/>
      <c r="CI8" s="56"/>
      <c r="CJ8" s="56"/>
      <c r="CK8" s="56"/>
      <c r="CL8" s="56"/>
      <c r="CM8" s="56"/>
      <c r="CN8" s="56"/>
      <c r="CO8" s="56"/>
      <c r="CP8" s="56"/>
      <c r="CQ8" s="56"/>
      <c r="CR8" s="56"/>
      <c r="CS8" s="56"/>
      <c r="CT8" s="56"/>
      <c r="CU8" s="56"/>
      <c r="CV8" s="56"/>
    </row>
    <row r="9" spans="1:335" x14ac:dyDescent="0.25">
      <c r="A9" s="56"/>
      <c r="C9" s="56"/>
      <c r="D9" s="56"/>
      <c r="E9" s="56"/>
      <c r="F9" s="56"/>
      <c r="G9" s="56"/>
      <c r="H9" s="56"/>
      <c r="I9" s="56"/>
      <c r="J9" s="56"/>
      <c r="K9" s="56"/>
      <c r="N9" s="56"/>
      <c r="O9" s="56"/>
      <c r="P9" s="56"/>
      <c r="Q9" s="56"/>
      <c r="R9" s="56"/>
      <c r="S9" s="56"/>
      <c r="T9" s="56"/>
      <c r="U9" s="56"/>
      <c r="V9" s="56"/>
      <c r="W9" s="56"/>
      <c r="X9" s="56"/>
      <c r="Y9" s="56"/>
      <c r="Z9" s="56"/>
      <c r="AA9" s="56"/>
      <c r="AB9" s="56"/>
      <c r="AC9" s="56"/>
      <c r="AD9" s="56"/>
      <c r="AE9" s="56"/>
      <c r="AF9" s="56"/>
      <c r="AG9" s="56"/>
      <c r="AH9" s="56"/>
      <c r="AI9" s="56"/>
      <c r="AJ9" s="56"/>
      <c r="AK9" s="56"/>
      <c r="AL9" s="56"/>
      <c r="AM9" s="56"/>
      <c r="AN9" s="56"/>
      <c r="AO9" s="56"/>
      <c r="AP9" s="56"/>
      <c r="AQ9" s="56"/>
      <c r="AR9" s="56"/>
      <c r="AS9" s="56"/>
      <c r="AU9" s="56"/>
      <c r="AV9" s="56"/>
      <c r="AW9" s="56"/>
      <c r="AX9" s="56"/>
      <c r="AY9" s="56"/>
      <c r="AZ9" s="56"/>
      <c r="BA9" s="56"/>
      <c r="BB9" s="56"/>
      <c r="BC9" s="56"/>
      <c r="BD9" s="56"/>
      <c r="BE9" s="56"/>
      <c r="BF9" s="56"/>
      <c r="BG9" s="56"/>
      <c r="BH9" s="56"/>
      <c r="BI9" s="56"/>
      <c r="BJ9" s="56"/>
      <c r="BK9" s="56"/>
      <c r="BL9" s="56"/>
      <c r="BT9" s="56"/>
      <c r="BU9" s="56"/>
      <c r="BV9" s="56"/>
      <c r="BW9" s="56"/>
      <c r="BX9" s="56"/>
      <c r="BY9" s="56"/>
      <c r="BZ9" s="56"/>
      <c r="CA9" s="56"/>
      <c r="CB9" s="56"/>
      <c r="CC9" s="56"/>
      <c r="CD9" s="56"/>
      <c r="CE9" s="56"/>
      <c r="CF9" s="56"/>
      <c r="CG9" s="56"/>
      <c r="CH9" s="56"/>
      <c r="CI9" s="56"/>
      <c r="CJ9" s="56"/>
      <c r="CK9" s="56"/>
      <c r="CL9" s="56"/>
      <c r="CM9" s="56"/>
      <c r="CN9" s="56"/>
      <c r="CO9" s="56"/>
      <c r="CP9" s="56"/>
      <c r="CQ9" s="56"/>
      <c r="CR9" s="56"/>
      <c r="CS9" s="56"/>
      <c r="CT9" s="56"/>
      <c r="CU9" s="56"/>
      <c r="CV9" s="56"/>
    </row>
    <row r="10" spans="1:335" x14ac:dyDescent="0.25">
      <c r="A10" s="56"/>
      <c r="C10" s="56"/>
      <c r="D10" s="56"/>
      <c r="E10" s="56"/>
      <c r="F10" s="56"/>
      <c r="G10" s="56"/>
      <c r="H10" s="56"/>
      <c r="I10" s="56"/>
      <c r="J10" s="56"/>
      <c r="K10" s="56"/>
      <c r="N10" s="56"/>
      <c r="O10" s="56"/>
      <c r="P10" s="56"/>
      <c r="Q10" s="56"/>
      <c r="R10" s="56"/>
      <c r="S10" s="56"/>
      <c r="T10" s="56"/>
      <c r="U10" s="56"/>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U10" s="56"/>
      <c r="AV10" s="56"/>
      <c r="AW10" s="56"/>
      <c r="AX10" s="56"/>
      <c r="AY10" s="56"/>
      <c r="AZ10" s="56"/>
      <c r="BA10" s="56"/>
      <c r="BB10" s="56"/>
      <c r="BC10" s="56"/>
      <c r="BD10" s="56"/>
      <c r="BE10" s="56"/>
      <c r="BF10" s="56"/>
      <c r="BG10" s="56"/>
      <c r="BH10" s="56"/>
      <c r="BI10" s="56"/>
      <c r="BJ10" s="56"/>
      <c r="BK10" s="56"/>
      <c r="BL10" s="56"/>
      <c r="BT10" s="56"/>
      <c r="BU10" s="56"/>
      <c r="BV10" s="56"/>
      <c r="BW10" s="56"/>
      <c r="BX10" s="56"/>
      <c r="BY10" s="56"/>
      <c r="BZ10" s="56"/>
      <c r="CA10" s="56"/>
      <c r="CB10" s="56"/>
      <c r="CC10" s="56"/>
      <c r="CD10" s="56"/>
      <c r="CE10" s="56"/>
      <c r="CF10" s="56"/>
      <c r="CG10" s="56"/>
      <c r="CH10" s="56"/>
      <c r="CI10" s="56"/>
      <c r="CJ10" s="56"/>
      <c r="CK10" s="56"/>
      <c r="CL10" s="56"/>
      <c r="CM10" s="56"/>
      <c r="CN10" s="56"/>
      <c r="CO10" s="56"/>
      <c r="CP10" s="56"/>
      <c r="CQ10" s="56"/>
      <c r="CR10" s="56"/>
      <c r="CS10" s="56"/>
      <c r="CT10" s="56"/>
      <c r="CU10" s="56"/>
      <c r="CV10" s="56"/>
    </row>
  </sheetData>
  <sheetProtection formatCells="0" formatColumns="0" formatRows="0" insertHyperlinks="0" autoFilter="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GDT"/>
  <dimension ref="A1:BA62"/>
  <sheetViews>
    <sheetView showGridLines="0" showRowColHeaders="0" zoomScaleNormal="100" workbookViewId="0">
      <selection activeCell="N1" sqref="N1:XFD1048576"/>
    </sheetView>
  </sheetViews>
  <sheetFormatPr defaultColWidth="0" defaultRowHeight="15" x14ac:dyDescent="0.25"/>
  <cols>
    <col min="1" max="1" width="1" style="98" customWidth="1"/>
    <col min="2" max="6" width="15.7109375" customWidth="1"/>
    <col min="7" max="7" width="15.7109375" style="98" customWidth="1"/>
    <col min="8" max="13" width="15.7109375" customWidth="1"/>
    <col min="14" max="15" width="15.7109375" hidden="1" customWidth="1"/>
    <col min="16" max="16" width="6.140625" hidden="1" customWidth="1"/>
    <col min="17" max="17" width="10.28515625" hidden="1" customWidth="1"/>
    <col min="18" max="18" width="10.7109375" hidden="1" customWidth="1"/>
    <col min="19" max="19" width="6" hidden="1" customWidth="1"/>
    <col min="20" max="20" width="9.7109375" hidden="1" customWidth="1"/>
    <col min="21" max="21" width="11.28515625" hidden="1" customWidth="1"/>
    <col min="22" max="22" width="11.85546875" hidden="1" customWidth="1"/>
    <col min="23" max="23" width="10.140625" hidden="1" customWidth="1"/>
    <col min="24" max="24" width="9.7109375" hidden="1" customWidth="1"/>
    <col min="25" max="25" width="10.140625" hidden="1" customWidth="1"/>
    <col min="26" max="26" width="6" hidden="1" customWidth="1"/>
    <col min="27" max="27" width="10.42578125" hidden="1" customWidth="1"/>
    <col min="28" max="28" width="9.7109375" hidden="1" customWidth="1"/>
    <col min="29" max="30" width="6.140625" hidden="1" customWidth="1"/>
    <col min="31" max="16384" width="6" hidden="1"/>
  </cols>
  <sheetData>
    <row r="1" spans="1:53" s="2" customFormat="1" ht="11.25" customHeight="1" x14ac:dyDescent="0.25">
      <c r="A1" s="117"/>
      <c r="B1" s="117"/>
      <c r="C1" s="92"/>
      <c r="D1" s="92"/>
      <c r="E1" s="92"/>
      <c r="F1" s="92"/>
      <c r="G1" s="92"/>
      <c r="H1" s="92"/>
      <c r="I1" s="111"/>
      <c r="J1" s="111"/>
      <c r="K1" s="111"/>
      <c r="L1" s="111"/>
      <c r="M1" s="111"/>
      <c r="N1" s="111"/>
      <c r="O1" s="111"/>
      <c r="P1" s="118" t="s">
        <v>196</v>
      </c>
      <c r="Q1" s="118" t="s">
        <v>197</v>
      </c>
      <c r="R1" s="118" t="s">
        <v>198</v>
      </c>
      <c r="S1" s="118" t="s">
        <v>9</v>
      </c>
      <c r="T1" s="118" t="s">
        <v>199</v>
      </c>
      <c r="U1" s="118" t="s">
        <v>224</v>
      </c>
      <c r="V1" s="118" t="s">
        <v>201</v>
      </c>
      <c r="W1" s="118" t="s">
        <v>201</v>
      </c>
      <c r="X1" s="118" t="s">
        <v>200</v>
      </c>
      <c r="Y1" s="118" t="s">
        <v>202</v>
      </c>
      <c r="Z1" s="118" t="s">
        <v>203</v>
      </c>
      <c r="AA1" s="118" t="s">
        <v>204</v>
      </c>
      <c r="AB1" s="118" t="s">
        <v>205</v>
      </c>
      <c r="AC1" s="118" t="s">
        <v>3</v>
      </c>
      <c r="AD1" s="118" t="s">
        <v>206</v>
      </c>
      <c r="AE1" s="118" t="s">
        <v>207</v>
      </c>
      <c r="AF1" s="118" t="s">
        <v>208</v>
      </c>
      <c r="AG1" s="118" t="s">
        <v>209</v>
      </c>
      <c r="AH1" s="118"/>
      <c r="AI1" s="118"/>
      <c r="AJ1" s="118"/>
      <c r="AK1" s="118"/>
      <c r="AL1" s="118"/>
      <c r="AM1" s="118"/>
      <c r="AN1" s="118"/>
      <c r="AO1" s="118"/>
      <c r="AP1" s="118"/>
      <c r="AQ1" s="118"/>
      <c r="AR1" s="118"/>
      <c r="AS1" s="118" t="s">
        <v>238</v>
      </c>
      <c r="AT1" s="118" t="s">
        <v>239</v>
      </c>
      <c r="AU1" s="118"/>
      <c r="AV1" s="118"/>
      <c r="AW1" s="118"/>
      <c r="AX1" s="118" t="s">
        <v>214</v>
      </c>
      <c r="AY1" s="118" t="s">
        <v>221</v>
      </c>
      <c r="AZ1" s="118" t="s">
        <v>222</v>
      </c>
    </row>
    <row r="2" spans="1:53" s="2" customFormat="1" ht="20.25" thickBot="1" x14ac:dyDescent="0.35">
      <c r="A2" s="108"/>
      <c r="B2" s="164"/>
      <c r="C2" s="164"/>
      <c r="D2" s="164"/>
      <c r="E2" s="164"/>
      <c r="F2" s="107"/>
      <c r="G2" s="107"/>
      <c r="H2" s="108"/>
      <c r="I2" s="109"/>
      <c r="J2" s="109"/>
      <c r="K2" s="109"/>
      <c r="L2" s="109"/>
      <c r="M2" s="110"/>
      <c r="N2" s="110"/>
      <c r="O2" s="109"/>
      <c r="P2" s="118" t="s">
        <v>194</v>
      </c>
      <c r="Q2" s="118" t="s">
        <v>210</v>
      </c>
      <c r="R2" s="118" t="s">
        <v>210</v>
      </c>
      <c r="S2" s="118"/>
      <c r="T2" s="118">
        <v>0.5</v>
      </c>
      <c r="U2" s="119">
        <v>1000</v>
      </c>
      <c r="V2" s="119">
        <v>2000</v>
      </c>
      <c r="W2" s="119">
        <v>200</v>
      </c>
      <c r="X2" s="119">
        <v>100</v>
      </c>
      <c r="Y2" s="119">
        <v>500</v>
      </c>
      <c r="Z2" s="118" t="s">
        <v>8</v>
      </c>
      <c r="AA2" s="120">
        <v>44398</v>
      </c>
      <c r="AB2" s="120">
        <v>44411</v>
      </c>
      <c r="AC2" s="118">
        <v>5</v>
      </c>
      <c r="AD2" s="118">
        <v>0</v>
      </c>
      <c r="AE2" s="118">
        <v>0</v>
      </c>
      <c r="AF2" s="118">
        <v>5</v>
      </c>
      <c r="AG2" s="118">
        <v>0</v>
      </c>
      <c r="AH2" s="118"/>
      <c r="AI2" s="118"/>
      <c r="AJ2" s="118"/>
      <c r="AK2" s="118"/>
      <c r="AL2" s="118"/>
      <c r="AM2" s="118"/>
      <c r="AN2" s="118"/>
      <c r="AO2" s="118"/>
      <c r="AP2" s="118"/>
      <c r="AQ2" s="118"/>
      <c r="AR2" s="118"/>
      <c r="AS2" s="118" t="str">
        <f>$Z$2&amp;" "&amp;$U$2</f>
        <v>$ 1000</v>
      </c>
      <c r="AT2" s="118" t="str">
        <f>$Z$2&amp;" "&amp;$Y$2</f>
        <v>$ 500</v>
      </c>
      <c r="AU2" s="118"/>
      <c r="AV2" s="118" t="str">
        <f>IF($AX$2=0,"Planned",IF($AX$2=1,"Completed","In-Progress"))</f>
        <v>In-Progress</v>
      </c>
      <c r="AW2" s="118"/>
      <c r="AX2" s="121">
        <f>T2</f>
        <v>0.5</v>
      </c>
      <c r="AY2" s="121">
        <f>1-AX2</f>
        <v>0.5</v>
      </c>
      <c r="AZ2" s="122">
        <f>IFERROR((Y2-U2)/U2,0)</f>
        <v>-0.5</v>
      </c>
      <c r="BA2" s="114" t="str">
        <f>IF(AZ2&gt;0,TEXT(AZ2,"##%") &amp; " Over Target","")</f>
        <v/>
      </c>
    </row>
    <row r="3" spans="1:53" s="2" customFormat="1" ht="15" customHeight="1" thickTop="1" x14ac:dyDescent="0.25">
      <c r="A3" s="124"/>
      <c r="B3" s="166" t="s">
        <v>11</v>
      </c>
      <c r="C3" s="166"/>
      <c r="D3" s="166"/>
      <c r="E3" s="166"/>
      <c r="F3"/>
      <c r="G3" s="98"/>
      <c r="H3"/>
      <c r="P3" s="118">
        <v>0</v>
      </c>
      <c r="Q3" s="118" t="s">
        <v>211</v>
      </c>
      <c r="R3" s="118" t="s">
        <v>211</v>
      </c>
      <c r="S3" s="118"/>
      <c r="T3" s="118">
        <v>0</v>
      </c>
      <c r="U3" s="119">
        <v>1000</v>
      </c>
      <c r="V3" s="119">
        <v>2000</v>
      </c>
      <c r="W3" s="119">
        <v>200</v>
      </c>
      <c r="X3" s="119">
        <v>100</v>
      </c>
      <c r="Y3" s="119">
        <v>300</v>
      </c>
      <c r="Z3" s="118" t="s">
        <v>8</v>
      </c>
      <c r="AA3" s="120">
        <v>44398</v>
      </c>
      <c r="AB3" s="120">
        <v>44411</v>
      </c>
      <c r="AC3" s="118">
        <v>5</v>
      </c>
      <c r="AD3" s="118">
        <v>0</v>
      </c>
      <c r="AE3" s="118">
        <v>0</v>
      </c>
      <c r="AF3" s="118">
        <v>5</v>
      </c>
      <c r="AG3" s="118">
        <v>0</v>
      </c>
      <c r="AH3" s="118"/>
      <c r="AI3" s="118"/>
      <c r="AJ3" s="118"/>
      <c r="AK3" s="118"/>
      <c r="AL3" s="118"/>
      <c r="AM3" s="118"/>
      <c r="AN3" s="118"/>
      <c r="AO3" s="118"/>
      <c r="AP3" s="118"/>
      <c r="AQ3" s="118"/>
      <c r="AR3" s="118"/>
      <c r="AS3" s="118"/>
      <c r="AT3" s="118"/>
      <c r="AU3" s="118"/>
      <c r="AV3" s="118"/>
      <c r="AW3" s="118"/>
      <c r="AX3" s="118"/>
      <c r="AY3" s="118"/>
      <c r="AZ3" s="118"/>
    </row>
    <row r="4" spans="1:53" s="2" customFormat="1" ht="15" customHeight="1" x14ac:dyDescent="0.25">
      <c r="A4" s="98"/>
      <c r="B4"/>
      <c r="C4"/>
      <c r="D4" s="101" t="s">
        <v>10</v>
      </c>
      <c r="E4" s="102" t="str">
        <f>AV2</f>
        <v>In-Progress</v>
      </c>
      <c r="F4" s="6"/>
      <c r="G4" s="98"/>
      <c r="H4"/>
      <c r="P4" s="118">
        <v>1</v>
      </c>
      <c r="Q4" s="118" t="s">
        <v>212</v>
      </c>
      <c r="R4" s="118" t="s">
        <v>195</v>
      </c>
      <c r="S4" s="118" t="s">
        <v>213</v>
      </c>
      <c r="T4" s="118">
        <v>0</v>
      </c>
      <c r="U4" s="119">
        <v>1000</v>
      </c>
      <c r="V4" s="119">
        <v>2000</v>
      </c>
      <c r="W4" s="119">
        <v>200</v>
      </c>
      <c r="X4" s="119">
        <v>100</v>
      </c>
      <c r="Y4" s="119">
        <v>300</v>
      </c>
      <c r="Z4" s="118" t="s">
        <v>8</v>
      </c>
      <c r="AA4" s="120">
        <v>44398</v>
      </c>
      <c r="AB4" s="120">
        <v>44411</v>
      </c>
      <c r="AC4" s="118">
        <v>5</v>
      </c>
      <c r="AD4" s="118">
        <v>0</v>
      </c>
      <c r="AE4" s="118">
        <v>0</v>
      </c>
      <c r="AF4" s="118">
        <v>5</v>
      </c>
      <c r="AG4" s="118">
        <v>0</v>
      </c>
      <c r="AH4" s="118"/>
      <c r="AI4" s="118"/>
      <c r="AJ4" s="118"/>
      <c r="AK4" s="118"/>
      <c r="AL4" s="118"/>
      <c r="AM4" s="118"/>
      <c r="AN4" s="118"/>
      <c r="AO4" s="118"/>
      <c r="AP4" s="118"/>
      <c r="AQ4" s="118"/>
      <c r="AR4" s="118"/>
      <c r="AS4" s="118"/>
      <c r="AT4" s="118"/>
      <c r="AU4" s="118"/>
      <c r="AV4" s="118"/>
      <c r="AW4" s="118"/>
      <c r="AX4" s="118"/>
      <c r="AY4" s="118"/>
      <c r="AZ4" s="118"/>
    </row>
    <row r="5" spans="1:53" s="2" customFormat="1" ht="15" customHeight="1" x14ac:dyDescent="0.25">
      <c r="A5" s="98"/>
      <c r="B5"/>
      <c r="C5"/>
      <c r="D5" s="103" t="s">
        <v>9</v>
      </c>
      <c r="E5" s="102" t="str">
        <f>IF(S2 = "","",S2)</f>
        <v/>
      </c>
      <c r="F5" s="6"/>
      <c r="G5" s="98"/>
      <c r="H5"/>
    </row>
    <row r="6" spans="1:53" s="2" customFormat="1" ht="15" customHeight="1" x14ac:dyDescent="0.25">
      <c r="A6" s="98"/>
      <c r="B6"/>
      <c r="C6"/>
      <c r="D6" s="103" t="s">
        <v>7</v>
      </c>
      <c r="E6" s="104">
        <f>AA2</f>
        <v>44398</v>
      </c>
      <c r="F6" s="5"/>
      <c r="G6" s="98"/>
      <c r="H6"/>
      <c r="J6" s="13"/>
      <c r="K6" s="13"/>
      <c r="L6" s="13"/>
      <c r="M6" s="13"/>
      <c r="N6" s="13"/>
      <c r="O6" s="13"/>
    </row>
    <row r="7" spans="1:53" s="2" customFormat="1" ht="15" customHeight="1" x14ac:dyDescent="0.25">
      <c r="A7" s="98"/>
      <c r="B7"/>
      <c r="C7"/>
      <c r="D7" s="103" t="s">
        <v>5</v>
      </c>
      <c r="E7" s="104">
        <f>AB2</f>
        <v>44411</v>
      </c>
      <c r="F7" s="5"/>
      <c r="G7" s="98"/>
      <c r="H7"/>
      <c r="J7" s="13"/>
      <c r="K7" s="13"/>
      <c r="L7" s="13"/>
      <c r="M7" s="13"/>
      <c r="N7" s="13"/>
      <c r="O7" s="13"/>
    </row>
    <row r="8" spans="1:53" s="2" customFormat="1" ht="15" customHeight="1" x14ac:dyDescent="0.25">
      <c r="A8" s="98"/>
      <c r="B8"/>
      <c r="C8"/>
      <c r="D8" s="115"/>
      <c r="E8" s="116"/>
      <c r="F8" s="4"/>
      <c r="G8" s="98"/>
      <c r="H8"/>
      <c r="J8" s="13"/>
      <c r="K8" s="13"/>
      <c r="L8" s="13"/>
      <c r="M8" s="13"/>
      <c r="N8" s="13"/>
      <c r="O8" s="13"/>
    </row>
    <row r="9" spans="1:53" s="2" customFormat="1" ht="15" customHeight="1" x14ac:dyDescent="0.25">
      <c r="A9" s="98"/>
      <c r="B9" s="161"/>
      <c r="C9" s="162"/>
      <c r="D9" s="101" t="s">
        <v>3</v>
      </c>
      <c r="E9" s="105">
        <f>AC2</f>
        <v>5</v>
      </c>
      <c r="F9" s="4"/>
      <c r="G9" s="98"/>
      <c r="H9"/>
    </row>
    <row r="10" spans="1:53" s="2" customFormat="1" ht="15" customHeight="1" x14ac:dyDescent="0.25">
      <c r="A10" s="98"/>
      <c r="B10"/>
      <c r="C10"/>
      <c r="D10" s="103" t="s">
        <v>56</v>
      </c>
      <c r="E10" s="105">
        <f>AD2</f>
        <v>0</v>
      </c>
      <c r="F10" s="4"/>
      <c r="G10" s="98"/>
      <c r="H10"/>
    </row>
    <row r="11" spans="1:53" s="2" customFormat="1" ht="15" customHeight="1" x14ac:dyDescent="0.25">
      <c r="A11" s="98"/>
      <c r="B11"/>
      <c r="C11"/>
      <c r="D11" s="103" t="s">
        <v>57</v>
      </c>
      <c r="E11" s="105">
        <f>AE2</f>
        <v>0</v>
      </c>
      <c r="F11" s="4"/>
      <c r="G11" s="98"/>
      <c r="H11"/>
    </row>
    <row r="12" spans="1:53" s="2" customFormat="1" ht="15" customHeight="1" x14ac:dyDescent="0.25">
      <c r="A12" s="98"/>
      <c r="B12"/>
      <c r="C12"/>
      <c r="D12" s="103" t="s">
        <v>58</v>
      </c>
      <c r="E12" s="105">
        <f>AF2</f>
        <v>5</v>
      </c>
      <c r="F12" s="3"/>
      <c r="G12" s="98"/>
      <c r="H12"/>
    </row>
    <row r="13" spans="1:53" s="2" customFormat="1" ht="15" customHeight="1" x14ac:dyDescent="0.25">
      <c r="A13" s="98"/>
      <c r="B13" s="97"/>
      <c r="C13" s="97"/>
      <c r="D13" s="103" t="s">
        <v>59</v>
      </c>
      <c r="E13" s="106">
        <f>AG2</f>
        <v>0</v>
      </c>
      <c r="F13" s="3"/>
      <c r="G13" s="98"/>
      <c r="H13" s="97"/>
    </row>
    <row r="14" spans="1:53" s="2" customFormat="1" ht="15" customHeight="1" x14ac:dyDescent="0.25">
      <c r="A14" s="98"/>
      <c r="B14" s="97"/>
      <c r="C14" s="97"/>
      <c r="D14" s="100"/>
      <c r="E14" s="99"/>
      <c r="F14" s="3"/>
      <c r="G14" s="98"/>
      <c r="H14" s="97"/>
    </row>
    <row r="15" spans="1:53" s="2" customFormat="1" ht="15.75" x14ac:dyDescent="0.25">
      <c r="A15" s="98"/>
      <c r="B15" s="165"/>
      <c r="C15" s="165"/>
      <c r="D15" s="165"/>
      <c r="E15" s="165"/>
      <c r="F15" s="113"/>
      <c r="G15" s="98"/>
      <c r="H15"/>
    </row>
    <row r="16" spans="1:53" s="7" customFormat="1" ht="15" customHeight="1" x14ac:dyDescent="0.25">
      <c r="A16" s="98"/>
      <c r="B16" s="1"/>
      <c r="C16" s="1"/>
      <c r="D16" s="125"/>
      <c r="E16" s="125"/>
      <c r="F16" s="1"/>
      <c r="G16" s="98"/>
      <c r="H16" s="1"/>
    </row>
    <row r="17" spans="1:8" s="2" customFormat="1" x14ac:dyDescent="0.25">
      <c r="A17" s="98"/>
      <c r="B17"/>
      <c r="C17"/>
      <c r="D17" s="1"/>
      <c r="E17" s="1"/>
      <c r="F17"/>
      <c r="G17" s="98"/>
      <c r="H17"/>
    </row>
    <row r="18" spans="1:8" s="2" customFormat="1" ht="15" customHeight="1" x14ac:dyDescent="0.25">
      <c r="A18" s="98"/>
      <c r="B18"/>
      <c r="C18"/>
      <c r="D18" s="163" t="str">
        <f>BA2</f>
        <v/>
      </c>
      <c r="E18" s="163"/>
      <c r="F18"/>
      <c r="G18" s="98"/>
      <c r="H18"/>
    </row>
    <row r="19" spans="1:8" s="2" customFormat="1" ht="15" customHeight="1" x14ac:dyDescent="0.25">
      <c r="A19" s="98"/>
      <c r="B19"/>
      <c r="C19"/>
      <c r="D19"/>
      <c r="E19"/>
      <c r="F19"/>
      <c r="G19" s="98"/>
      <c r="H19"/>
    </row>
    <row r="20" spans="1:8" s="2" customFormat="1" ht="15" customHeight="1" x14ac:dyDescent="0.25">
      <c r="A20" s="98"/>
      <c r="B20" s="160"/>
      <c r="C20" s="160"/>
      <c r="D20"/>
      <c r="E20"/>
      <c r="F20"/>
      <c r="G20" s="98"/>
      <c r="H20"/>
    </row>
    <row r="21" spans="1:8" s="2" customFormat="1" ht="15" customHeight="1" x14ac:dyDescent="0.25">
      <c r="A21" s="98"/>
      <c r="B21"/>
      <c r="C21"/>
      <c r="D21" s="8"/>
      <c r="E21"/>
      <c r="F21"/>
      <c r="G21" s="98"/>
      <c r="H21"/>
    </row>
    <row r="22" spans="1:8" s="2" customFormat="1" ht="15" customHeight="1" x14ac:dyDescent="0.25">
      <c r="A22" s="98"/>
      <c r="B22"/>
      <c r="C22"/>
      <c r="D22"/>
      <c r="E22"/>
      <c r="F22"/>
      <c r="G22" s="98"/>
      <c r="H22"/>
    </row>
    <row r="23" spans="1:8" s="2" customFormat="1" ht="15" customHeight="1" x14ac:dyDescent="0.25">
      <c r="A23" s="98"/>
      <c r="B23"/>
      <c r="C23"/>
      <c r="D23"/>
      <c r="E23"/>
      <c r="F23"/>
      <c r="G23" s="98"/>
      <c r="H23"/>
    </row>
    <row r="24" spans="1:8" s="2" customFormat="1" ht="15" customHeight="1" x14ac:dyDescent="0.25">
      <c r="A24" s="98"/>
      <c r="B24"/>
      <c r="C24"/>
      <c r="D24"/>
      <c r="E24"/>
      <c r="F24"/>
      <c r="G24" s="98"/>
      <c r="H24"/>
    </row>
    <row r="25" spans="1:8" s="2" customFormat="1" ht="15" customHeight="1" x14ac:dyDescent="0.25">
      <c r="A25" s="98"/>
      <c r="B25"/>
      <c r="C25"/>
      <c r="D25"/>
      <c r="E25"/>
      <c r="F25"/>
      <c r="G25" s="98"/>
      <c r="H25"/>
    </row>
    <row r="26" spans="1:8" s="7" customFormat="1" ht="15" customHeight="1" x14ac:dyDescent="0.25">
      <c r="A26" s="98"/>
      <c r="B26"/>
      <c r="C26"/>
      <c r="D26"/>
      <c r="E26"/>
      <c r="F26"/>
      <c r="G26" s="98"/>
      <c r="H26"/>
    </row>
    <row r="27" spans="1:8" s="2" customFormat="1" ht="15" customHeight="1" x14ac:dyDescent="0.25">
      <c r="A27" s="98"/>
      <c r="B27" s="1"/>
      <c r="C27" s="1"/>
      <c r="D27"/>
      <c r="E27"/>
      <c r="F27" s="1"/>
      <c r="G27" s="98"/>
      <c r="H27" s="1"/>
    </row>
    <row r="28" spans="1:8" s="2" customFormat="1" ht="15" customHeight="1" x14ac:dyDescent="0.25">
      <c r="A28" s="98"/>
      <c r="B28"/>
      <c r="C28"/>
      <c r="D28" s="1"/>
      <c r="E28" s="1"/>
      <c r="F28"/>
      <c r="G28" s="98"/>
      <c r="H28"/>
    </row>
    <row r="29" spans="1:8" s="2" customFormat="1" ht="15" customHeight="1" x14ac:dyDescent="0.25">
      <c r="A29" s="98"/>
      <c r="B29"/>
      <c r="C29"/>
      <c r="D29"/>
      <c r="E29"/>
      <c r="F29"/>
      <c r="G29" s="98"/>
      <c r="H29"/>
    </row>
    <row r="30" spans="1:8" s="2" customFormat="1" ht="15" customHeight="1" x14ac:dyDescent="0.25">
      <c r="A30" s="98"/>
      <c r="B30"/>
      <c r="C30"/>
      <c r="D30"/>
      <c r="E30"/>
      <c r="F30"/>
      <c r="G30" s="98"/>
      <c r="H30"/>
    </row>
    <row r="31" spans="1:8" s="2" customFormat="1" ht="15" customHeight="1" x14ac:dyDescent="0.25">
      <c r="A31" s="98"/>
      <c r="B31"/>
      <c r="C31"/>
      <c r="D31"/>
      <c r="E31"/>
      <c r="F31"/>
      <c r="G31" s="98"/>
      <c r="H31"/>
    </row>
    <row r="32" spans="1:8" s="2" customFormat="1" ht="15" customHeight="1" x14ac:dyDescent="0.25">
      <c r="A32" s="98"/>
      <c r="B32"/>
      <c r="C32"/>
      <c r="D32"/>
      <c r="E32"/>
      <c r="F32"/>
      <c r="G32" s="98"/>
      <c r="H32"/>
    </row>
    <row r="33" spans="1:8" s="2" customFormat="1" ht="15" customHeight="1" x14ac:dyDescent="0.25">
      <c r="A33" s="98"/>
      <c r="B33" s="91"/>
      <c r="C33" s="91"/>
      <c r="D33" s="8"/>
      <c r="E33"/>
      <c r="F33" s="91"/>
      <c r="G33" s="98"/>
      <c r="H33" s="91"/>
    </row>
    <row r="34" spans="1:8" s="2" customFormat="1" ht="15" customHeight="1" x14ac:dyDescent="0.25">
      <c r="A34" s="98"/>
      <c r="B34" s="91"/>
      <c r="C34" s="91"/>
      <c r="D34" s="91"/>
      <c r="E34" s="91"/>
      <c r="F34" s="91"/>
      <c r="G34" s="98"/>
      <c r="H34" s="91"/>
    </row>
    <row r="35" spans="1:8" s="2" customFormat="1" ht="15" customHeight="1" x14ac:dyDescent="0.25">
      <c r="A35" s="98"/>
      <c r="B35" s="93"/>
      <c r="C35" s="93"/>
      <c r="D35" s="91"/>
      <c r="E35" s="112"/>
      <c r="F35" s="93"/>
      <c r="G35" s="98"/>
      <c r="H35" s="91"/>
    </row>
    <row r="36" spans="1:8" s="2" customFormat="1" ht="15" customHeight="1" x14ac:dyDescent="0.25">
      <c r="A36" s="98"/>
      <c r="B36" s="93"/>
      <c r="C36" s="93"/>
      <c r="D36" s="93"/>
      <c r="E36" s="93"/>
      <c r="F36" s="93"/>
      <c r="G36" s="98"/>
      <c r="H36" s="91"/>
    </row>
    <row r="37" spans="1:8" s="2" customFormat="1" ht="15" customHeight="1" x14ac:dyDescent="0.25">
      <c r="A37" s="98"/>
      <c r="B37" s="93"/>
      <c r="C37" s="93"/>
      <c r="D37" s="93"/>
      <c r="E37" s="93"/>
      <c r="F37" s="93"/>
      <c r="G37" s="98"/>
      <c r="H37" s="91"/>
    </row>
    <row r="38" spans="1:8" s="2" customFormat="1" ht="15" customHeight="1" x14ac:dyDescent="0.25">
      <c r="A38" s="98"/>
      <c r="B38" s="93"/>
      <c r="C38" s="93"/>
      <c r="D38" s="93"/>
      <c r="E38" s="93"/>
      <c r="F38" s="93"/>
      <c r="G38" s="98"/>
      <c r="H38" s="91"/>
    </row>
    <row r="39" spans="1:8" s="2" customFormat="1" ht="15" customHeight="1" x14ac:dyDescent="0.25">
      <c r="A39" s="98"/>
      <c r="B39" s="93"/>
      <c r="C39" s="93"/>
      <c r="D39" s="93"/>
      <c r="E39" s="93"/>
      <c r="F39" s="93"/>
      <c r="G39" s="98"/>
      <c r="H39" s="91"/>
    </row>
    <row r="40" spans="1:8" s="2" customFormat="1" ht="15" customHeight="1" x14ac:dyDescent="0.25">
      <c r="A40" s="98"/>
      <c r="B40" s="93"/>
      <c r="C40" s="93"/>
      <c r="D40" s="93"/>
      <c r="E40" s="93"/>
      <c r="F40" s="93"/>
      <c r="G40" s="98"/>
      <c r="H40" s="91"/>
    </row>
    <row r="41" spans="1:8" s="2" customFormat="1" ht="15" customHeight="1" x14ac:dyDescent="0.25">
      <c r="A41" s="98"/>
      <c r="B41" s="93"/>
      <c r="C41" s="93"/>
      <c r="D41" s="93"/>
      <c r="E41" s="93"/>
      <c r="F41" s="93"/>
      <c r="G41" s="98"/>
      <c r="H41" s="91"/>
    </row>
    <row r="42" spans="1:8" s="2" customFormat="1" ht="15" customHeight="1" x14ac:dyDescent="0.25">
      <c r="A42" s="98"/>
      <c r="B42"/>
      <c r="C42"/>
      <c r="D42" s="93"/>
      <c r="E42" s="93"/>
      <c r="F42"/>
      <c r="G42" s="98"/>
      <c r="H42"/>
    </row>
    <row r="43" spans="1:8" s="2" customFormat="1" ht="15" customHeight="1" x14ac:dyDescent="0.25">
      <c r="A43" s="98"/>
      <c r="B43" s="1"/>
      <c r="C43" s="1"/>
      <c r="D43"/>
      <c r="E43"/>
      <c r="F43" s="1"/>
      <c r="G43" s="98"/>
      <c r="H43"/>
    </row>
    <row r="44" spans="1:8" s="2" customFormat="1" ht="15" customHeight="1" x14ac:dyDescent="0.25">
      <c r="A44" s="98"/>
      <c r="B44" s="1"/>
      <c r="C44" s="1"/>
      <c r="D44" s="1"/>
      <c r="E44" s="1"/>
      <c r="F44" s="1"/>
      <c r="G44" s="98"/>
      <c r="H44"/>
    </row>
    <row r="45" spans="1:8" ht="15" customHeight="1" x14ac:dyDescent="0.25">
      <c r="D45" s="1"/>
      <c r="E45" s="1"/>
    </row>
    <row r="46" spans="1:8" ht="15" customHeight="1" x14ac:dyDescent="0.25"/>
    <row r="47" spans="1:8" ht="15" customHeight="1" x14ac:dyDescent="0.25"/>
    <row r="48" spans="1: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142875</xdr:colOff>
                    <xdr:row>1</xdr:row>
                    <xdr:rowOff>19050</xdr:rowOff>
                  </from>
                  <to>
                    <xdr:col>5</xdr:col>
                    <xdr:colOff>676275</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VS"/>
  <dimension ref="A1:BU10"/>
  <sheetViews>
    <sheetView workbookViewId="0">
      <selection activeCell="B93" sqref="B93"/>
    </sheetView>
  </sheetViews>
  <sheetFormatPr defaultRowHeight="15" x14ac:dyDescent="0.25"/>
  <cols>
    <col min="1" max="1" width="13.140625" bestFit="1" customWidth="1"/>
    <col min="2" max="2" width="11.5703125" bestFit="1" customWidth="1"/>
    <col min="6" max="8" width="9.140625" style="128"/>
    <col min="10" max="11" width="13.140625" bestFit="1" customWidth="1"/>
    <col min="12" max="12" width="11.5703125" bestFit="1" customWidth="1"/>
    <col min="13" max="13" width="8.7109375" bestFit="1" customWidth="1"/>
    <col min="14" max="14" width="8.28515625" bestFit="1" customWidth="1"/>
    <col min="15" max="17" width="8.28515625" style="128" customWidth="1"/>
    <col min="18" max="18" width="11.28515625" bestFit="1" customWidth="1"/>
    <col min="21" max="21" width="14.28515625" bestFit="1" customWidth="1"/>
    <col min="22" max="22" width="7.140625" bestFit="1" customWidth="1"/>
    <col min="23" max="23" width="11" bestFit="1" customWidth="1"/>
    <col min="24" max="26" width="11" style="128" customWidth="1"/>
    <col min="27" max="27" width="11" bestFit="1" customWidth="1"/>
    <col min="31" max="31" width="12" bestFit="1" customWidth="1"/>
    <col min="32" max="32" width="17.85546875" bestFit="1" customWidth="1"/>
    <col min="33" max="33" width="31.28515625" bestFit="1" customWidth="1"/>
    <col min="34" max="35" width="31.28515625" style="128" customWidth="1"/>
    <col min="36" max="36" width="31.28515625" bestFit="1" customWidth="1"/>
    <col min="37" max="37" width="33.140625" bestFit="1" customWidth="1"/>
    <col min="38" max="39" width="36.28515625" style="127" bestFit="1" customWidth="1"/>
    <col min="40" max="40" width="14.28515625" bestFit="1" customWidth="1"/>
    <col min="41" max="41" width="22.28515625" bestFit="1" customWidth="1"/>
    <col min="42" max="42" width="13.140625" bestFit="1" customWidth="1"/>
    <col min="43" max="43" width="11.5703125" bestFit="1" customWidth="1"/>
    <col min="47" max="49" width="9.140625" style="128"/>
    <col min="53" max="53" width="13.140625" bestFit="1" customWidth="1"/>
    <col min="54" max="54" width="7.140625" bestFit="1" customWidth="1"/>
    <col min="57" max="59" width="9.140625" style="128"/>
    <col min="63" max="63" width="12" bestFit="1" customWidth="1"/>
    <col min="64" max="64" width="7.140625" bestFit="1" customWidth="1"/>
    <col min="66" max="70" width="9.140625" style="128"/>
    <col min="72" max="72" width="12" bestFit="1" customWidth="1"/>
    <col min="73" max="73" width="7.140625" bestFit="1" customWidth="1"/>
    <col min="76" max="76" width="12" bestFit="1" customWidth="1"/>
    <col min="77" max="77" width="17.85546875" bestFit="1" customWidth="1"/>
    <col min="81" max="81" width="12" bestFit="1" customWidth="1"/>
    <col min="82" max="82" width="17.85546875" bestFit="1" customWidth="1"/>
  </cols>
  <sheetData>
    <row r="1" spans="1:73" x14ac:dyDescent="0.25">
      <c r="A1" s="94" t="s">
        <v>215</v>
      </c>
      <c r="B1" s="130" t="s">
        <v>241</v>
      </c>
      <c r="K1" s="94" t="s">
        <v>215</v>
      </c>
      <c r="L1" s="130" t="s">
        <v>241</v>
      </c>
      <c r="U1" s="94" t="s">
        <v>215</v>
      </c>
      <c r="V1" s="130" t="s">
        <v>241</v>
      </c>
      <c r="AE1" s="94" t="s">
        <v>215</v>
      </c>
      <c r="AF1" s="130" t="s">
        <v>241</v>
      </c>
      <c r="AP1" s="94" t="s">
        <v>215</v>
      </c>
      <c r="AQ1" s="130" t="s">
        <v>241</v>
      </c>
      <c r="BA1" s="94" t="s">
        <v>215</v>
      </c>
      <c r="BB1" s="130" t="s">
        <v>241</v>
      </c>
      <c r="BK1" s="94" t="s">
        <v>215</v>
      </c>
      <c r="BL1" s="130" t="s">
        <v>241</v>
      </c>
      <c r="BT1" s="94" t="s">
        <v>215</v>
      </c>
      <c r="BU1" s="130" t="s">
        <v>241</v>
      </c>
    </row>
    <row r="2" spans="1:73" x14ac:dyDescent="0.25">
      <c r="A2" s="94" t="s">
        <v>171</v>
      </c>
      <c r="B2" s="130" t="s">
        <v>241</v>
      </c>
      <c r="K2" s="94" t="s">
        <v>171</v>
      </c>
      <c r="L2" s="130" t="s">
        <v>241</v>
      </c>
      <c r="U2" s="94" t="s">
        <v>171</v>
      </c>
      <c r="V2" s="130" t="s">
        <v>241</v>
      </c>
      <c r="AE2" s="94" t="s">
        <v>234</v>
      </c>
      <c r="AF2" s="130" t="s">
        <v>219</v>
      </c>
      <c r="AP2" s="94" t="s">
        <v>171</v>
      </c>
      <c r="AQ2" s="130" t="s">
        <v>241</v>
      </c>
      <c r="BA2" s="94" t="s">
        <v>171</v>
      </c>
      <c r="BB2" s="130" t="s">
        <v>241</v>
      </c>
      <c r="BK2" s="94" t="s">
        <v>171</v>
      </c>
      <c r="BL2" s="130" t="s">
        <v>241</v>
      </c>
      <c r="BT2" s="94" t="s">
        <v>171</v>
      </c>
      <c r="BU2" s="130" t="s">
        <v>241</v>
      </c>
    </row>
    <row r="3" spans="1:73" x14ac:dyDescent="0.25">
      <c r="AP3" s="123"/>
      <c r="AQ3" s="123"/>
      <c r="BA3" s="127"/>
      <c r="BB3" s="127"/>
    </row>
    <row r="4" spans="1:73" x14ac:dyDescent="0.25">
      <c r="A4" s="94" t="s">
        <v>216</v>
      </c>
      <c r="B4" t="s">
        <v>217</v>
      </c>
      <c r="K4" s="94" t="s">
        <v>216</v>
      </c>
      <c r="L4" t="s">
        <v>217</v>
      </c>
      <c r="U4" s="94" t="s">
        <v>218</v>
      </c>
      <c r="AL4"/>
      <c r="AM4"/>
      <c r="AP4" s="94" t="s">
        <v>216</v>
      </c>
      <c r="AQ4" t="s">
        <v>217</v>
      </c>
      <c r="BA4" s="94" t="s">
        <v>216</v>
      </c>
    </row>
    <row r="5" spans="1:73" x14ac:dyDescent="0.25">
      <c r="A5" s="96" t="s">
        <v>56</v>
      </c>
      <c r="B5" s="95">
        <v>1</v>
      </c>
      <c r="K5" s="96" t="s">
        <v>237</v>
      </c>
      <c r="L5" s="95">
        <v>1</v>
      </c>
      <c r="U5" s="96" t="s">
        <v>192</v>
      </c>
      <c r="V5" s="129"/>
      <c r="AL5"/>
      <c r="AM5"/>
      <c r="AP5" s="126" t="s">
        <v>242</v>
      </c>
      <c r="AQ5" s="95">
        <v>1</v>
      </c>
      <c r="BA5" s="96" t="s">
        <v>235</v>
      </c>
    </row>
    <row r="6" spans="1:73" x14ac:dyDescent="0.25">
      <c r="A6" s="96" t="s">
        <v>244</v>
      </c>
      <c r="B6" s="95">
        <v>1</v>
      </c>
      <c r="K6" s="96" t="s">
        <v>236</v>
      </c>
      <c r="L6" s="95">
        <v>1</v>
      </c>
      <c r="U6" s="96" t="s">
        <v>220</v>
      </c>
      <c r="V6" s="129"/>
      <c r="AL6"/>
      <c r="AM6"/>
      <c r="AP6" s="126" t="s">
        <v>240</v>
      </c>
      <c r="AQ6" s="95">
        <v>3</v>
      </c>
    </row>
    <row r="7" spans="1:73" x14ac:dyDescent="0.25">
      <c r="A7" s="96" t="s">
        <v>59</v>
      </c>
      <c r="B7" s="95">
        <v>1</v>
      </c>
      <c r="K7" s="96" t="s">
        <v>168</v>
      </c>
      <c r="L7" s="95">
        <v>2</v>
      </c>
      <c r="U7" s="96" t="s">
        <v>193</v>
      </c>
      <c r="V7" s="129"/>
      <c r="AL7"/>
      <c r="AM7"/>
    </row>
    <row r="8" spans="1:73" x14ac:dyDescent="0.25">
      <c r="A8" s="96" t="s">
        <v>58</v>
      </c>
      <c r="B8" s="95">
        <v>1</v>
      </c>
      <c r="AL8"/>
      <c r="AM8"/>
    </row>
    <row r="9" spans="1:73" x14ac:dyDescent="0.25">
      <c r="AL9"/>
      <c r="AM9"/>
    </row>
    <row r="10" spans="1:73" x14ac:dyDescent="0.25">
      <c r="AL10"/>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W12"/>
  <sheetViews>
    <sheetView showGridLines="0" showRowColHeaders="0" tabSelected="1" topLeftCell="H6" zoomScaleNormal="100" workbookViewId="0">
      <selection activeCell="K11" sqref="K11"/>
    </sheetView>
  </sheetViews>
  <sheetFormatPr defaultColWidth="0" defaultRowHeight="15" x14ac:dyDescent="0.25"/>
  <cols>
    <col min="1" max="7" width="0" style="134" hidden="1" customWidth="1"/>
    <col min="8" max="9" width="2.7109375" style="134" customWidth="1"/>
    <col min="10" max="10" width="6.7109375" style="136" customWidth="1"/>
    <col min="11" max="11" width="45.7109375" style="136" customWidth="1"/>
    <col min="12" max="12" width="10.7109375" style="138" customWidth="1"/>
    <col min="13" max="13" width="10.7109375" style="134" hidden="1" customWidth="1"/>
    <col min="14" max="14" width="15.7109375" style="136" customWidth="1"/>
    <col min="15" max="18" width="15.7109375" style="137" hidden="1" customWidth="1"/>
    <col min="19" max="20" width="15.7109375" style="137" customWidth="1"/>
    <col min="21" max="21" width="10.7109375" style="137" customWidth="1"/>
    <col min="22" max="22" width="15.7109375" style="134" hidden="1" customWidth="1"/>
    <col min="23" max="23" width="5.7109375" style="134" customWidth="1"/>
    <col min="24" max="24" width="10.7109375" style="135" customWidth="1"/>
    <col min="25" max="30" width="15.7109375" style="137" hidden="1" customWidth="1"/>
    <col min="31" max="31" width="15.7109375" style="140" hidden="1" customWidth="1"/>
    <col min="32" max="55" width="15.7109375" style="134" hidden="1" customWidth="1"/>
    <col min="56" max="56" width="2.7109375" style="134" customWidth="1"/>
    <col min="57" max="91" width="3.7109375" customWidth="1"/>
    <col min="92" max="16384" width="10.7109375" hidden="1"/>
  </cols>
  <sheetData>
    <row r="1" spans="1:101" hidden="1" x14ac:dyDescent="0.25">
      <c r="A1" s="134" t="s">
        <v>234</v>
      </c>
      <c r="B1" s="134" t="s">
        <v>226</v>
      </c>
      <c r="C1" s="134" t="s">
        <v>227</v>
      </c>
      <c r="D1" s="134" t="s">
        <v>228</v>
      </c>
      <c r="E1" s="134" t="s">
        <v>229</v>
      </c>
      <c r="F1" s="134" t="s">
        <v>230</v>
      </c>
      <c r="G1" s="134" t="s">
        <v>160</v>
      </c>
      <c r="H1" s="134" t="s">
        <v>161</v>
      </c>
      <c r="I1" s="134" t="s">
        <v>231</v>
      </c>
      <c r="J1" s="136" t="s">
        <v>27</v>
      </c>
      <c r="K1" s="136" t="s">
        <v>26</v>
      </c>
      <c r="L1" s="138" t="s">
        <v>137</v>
      </c>
      <c r="M1" s="134" t="s">
        <v>138</v>
      </c>
      <c r="N1" s="136" t="s">
        <v>225</v>
      </c>
      <c r="O1" s="137" t="s">
        <v>232</v>
      </c>
      <c r="P1" s="137" t="s">
        <v>25</v>
      </c>
      <c r="Q1" s="137" t="s">
        <v>24</v>
      </c>
      <c r="R1" s="137" t="s">
        <v>23</v>
      </c>
      <c r="S1" s="137" t="s">
        <v>22</v>
      </c>
      <c r="T1" s="137" t="s">
        <v>20</v>
      </c>
      <c r="U1" s="137" t="s">
        <v>18</v>
      </c>
      <c r="V1" s="134" t="s">
        <v>223</v>
      </c>
      <c r="W1" s="134" t="s">
        <v>233</v>
      </c>
      <c r="X1" s="135" t="s">
        <v>17</v>
      </c>
      <c r="Y1" s="137" t="s">
        <v>21</v>
      </c>
      <c r="Z1" s="137" t="s">
        <v>19</v>
      </c>
      <c r="AA1" s="137" t="s">
        <v>16</v>
      </c>
      <c r="AB1" s="137" t="s">
        <v>15</v>
      </c>
      <c r="AC1" s="137" t="s">
        <v>14</v>
      </c>
      <c r="AD1" s="137" t="s">
        <v>13</v>
      </c>
      <c r="AE1" s="140" t="s">
        <v>12</v>
      </c>
      <c r="AF1" s="134" t="s">
        <v>162</v>
      </c>
      <c r="AG1" s="134" t="s">
        <v>163</v>
      </c>
      <c r="AH1" s="134" t="s">
        <v>164</v>
      </c>
      <c r="AI1" s="134" t="s">
        <v>165</v>
      </c>
      <c r="AJ1" s="134" t="s">
        <v>172</v>
      </c>
      <c r="AK1" s="134" t="s">
        <v>173</v>
      </c>
      <c r="AL1" s="134" t="s">
        <v>174</v>
      </c>
      <c r="AM1" s="134" t="s">
        <v>175</v>
      </c>
      <c r="AN1" s="134" t="s">
        <v>176</v>
      </c>
      <c r="AO1" s="134" t="s">
        <v>177</v>
      </c>
      <c r="AP1" s="134" t="s">
        <v>178</v>
      </c>
      <c r="AQ1" s="134" t="s">
        <v>179</v>
      </c>
      <c r="AR1" s="134" t="s">
        <v>180</v>
      </c>
      <c r="AS1" s="134" t="s">
        <v>181</v>
      </c>
      <c r="AT1" s="134" t="s">
        <v>182</v>
      </c>
      <c r="AU1" s="134" t="s">
        <v>183</v>
      </c>
      <c r="AV1" s="134" t="s">
        <v>184</v>
      </c>
      <c r="AW1" s="134" t="s">
        <v>185</v>
      </c>
      <c r="AX1" s="134" t="s">
        <v>186</v>
      </c>
      <c r="AY1" s="134" t="s">
        <v>187</v>
      </c>
      <c r="AZ1" s="134" t="s">
        <v>188</v>
      </c>
      <c r="BA1" s="134" t="s">
        <v>189</v>
      </c>
      <c r="BB1" s="134" t="s">
        <v>190</v>
      </c>
      <c r="BC1" s="134" t="s">
        <v>191</v>
      </c>
      <c r="BD1" s="134" t="s">
        <v>166</v>
      </c>
      <c r="BE1" t="s">
        <v>279</v>
      </c>
      <c r="CM1" t="s">
        <v>280</v>
      </c>
    </row>
    <row r="2" spans="1:101" hidden="1" x14ac:dyDescent="0.25">
      <c r="A2" s="134" t="s">
        <v>263</v>
      </c>
      <c r="B2" s="134" t="s">
        <v>263</v>
      </c>
      <c r="C2" s="134" t="s">
        <v>263</v>
      </c>
      <c r="D2" s="134" t="s">
        <v>263</v>
      </c>
      <c r="E2" s="134" t="s">
        <v>263</v>
      </c>
      <c r="F2" s="134" t="s">
        <v>263</v>
      </c>
      <c r="G2" s="134" t="s">
        <v>263</v>
      </c>
      <c r="H2" s="134">
        <v>1</v>
      </c>
      <c r="I2" s="134" t="s">
        <v>263</v>
      </c>
      <c r="J2" s="136" t="s">
        <v>263</v>
      </c>
      <c r="K2" s="136" t="s">
        <v>263</v>
      </c>
      <c r="L2" s="138" t="s">
        <v>263</v>
      </c>
      <c r="M2" s="134" t="s">
        <v>263</v>
      </c>
      <c r="N2" s="136" t="s">
        <v>263</v>
      </c>
      <c r="O2" s="137" t="s">
        <v>263</v>
      </c>
      <c r="P2" s="137" t="s">
        <v>263</v>
      </c>
      <c r="Q2" s="137" t="s">
        <v>263</v>
      </c>
      <c r="R2" s="137" t="s">
        <v>263</v>
      </c>
      <c r="S2" s="137" t="s">
        <v>263</v>
      </c>
      <c r="T2" s="137" t="s">
        <v>263</v>
      </c>
      <c r="U2" s="137" t="s">
        <v>263</v>
      </c>
      <c r="V2" s="134" t="s">
        <v>263</v>
      </c>
      <c r="W2" s="134" t="s">
        <v>263</v>
      </c>
      <c r="X2" s="135" t="s">
        <v>263</v>
      </c>
      <c r="Y2" s="137" t="s">
        <v>263</v>
      </c>
      <c r="Z2" s="137" t="s">
        <v>263</v>
      </c>
      <c r="AA2" s="137" t="s">
        <v>263</v>
      </c>
      <c r="AB2" s="137" t="s">
        <v>263</v>
      </c>
      <c r="AC2" s="137" t="s">
        <v>263</v>
      </c>
      <c r="AD2" s="137" t="s">
        <v>263</v>
      </c>
      <c r="AE2" s="140" t="s">
        <v>263</v>
      </c>
      <c r="AF2" s="134" t="s">
        <v>263</v>
      </c>
      <c r="AG2" s="134" t="s">
        <v>263</v>
      </c>
      <c r="AH2" s="134" t="s">
        <v>263</v>
      </c>
      <c r="AI2" s="134" t="s">
        <v>263</v>
      </c>
      <c r="AJ2" s="134" t="s">
        <v>172</v>
      </c>
      <c r="AK2" s="134" t="s">
        <v>173</v>
      </c>
      <c r="AL2" s="134" t="s">
        <v>174</v>
      </c>
      <c r="AM2" s="134" t="s">
        <v>175</v>
      </c>
      <c r="AN2" s="134" t="s">
        <v>176</v>
      </c>
      <c r="AO2" s="134" t="s">
        <v>177</v>
      </c>
      <c r="AP2" s="134" t="s">
        <v>178</v>
      </c>
      <c r="AQ2" s="134" t="s">
        <v>179</v>
      </c>
      <c r="AR2" s="134" t="s">
        <v>180</v>
      </c>
      <c r="AS2" s="134" t="s">
        <v>181</v>
      </c>
      <c r="AT2" s="134" t="s">
        <v>182</v>
      </c>
      <c r="AU2" s="134" t="s">
        <v>183</v>
      </c>
      <c r="AV2" s="134" t="s">
        <v>184</v>
      </c>
      <c r="AW2" s="134" t="s">
        <v>185</v>
      </c>
      <c r="AX2" s="134" t="s">
        <v>186</v>
      </c>
      <c r="AY2" s="134" t="s">
        <v>187</v>
      </c>
      <c r="AZ2" s="134" t="s">
        <v>188</v>
      </c>
      <c r="BA2" s="134" t="s">
        <v>189</v>
      </c>
      <c r="BB2" s="134" t="s">
        <v>190</v>
      </c>
      <c r="BC2" s="134" t="s">
        <v>191</v>
      </c>
      <c r="BD2" s="134" t="s">
        <v>263</v>
      </c>
    </row>
    <row r="3" spans="1:101" hidden="1" x14ac:dyDescent="0.25"/>
    <row r="4" spans="1:101" hidden="1" x14ac:dyDescent="0.25"/>
    <row r="5" spans="1:101" hidden="1" x14ac:dyDescent="0.25"/>
    <row r="6" spans="1:101" ht="24" customHeight="1" x14ac:dyDescent="0.25">
      <c r="H6" s="141"/>
      <c r="I6" s="141"/>
      <c r="J6" s="159" t="s">
        <v>195</v>
      </c>
      <c r="K6" s="142"/>
      <c r="L6" s="143"/>
      <c r="M6" s="141"/>
      <c r="N6" s="142"/>
      <c r="O6" s="144"/>
      <c r="P6" s="144"/>
      <c r="Q6" s="144"/>
      <c r="R6" s="144"/>
      <c r="S6" s="144"/>
      <c r="T6" s="144"/>
      <c r="U6" s="144"/>
      <c r="V6" s="141"/>
      <c r="W6" s="141"/>
      <c r="X6" s="145"/>
      <c r="Y6" s="144"/>
      <c r="Z6" s="144"/>
      <c r="AA6" s="144"/>
      <c r="AB6" s="144"/>
      <c r="AC6" s="144"/>
      <c r="AD6" s="144"/>
      <c r="AE6" s="146"/>
      <c r="AF6" s="141"/>
      <c r="AG6" s="141"/>
      <c r="AH6" s="141"/>
      <c r="AI6" s="141"/>
      <c r="AJ6" s="141"/>
      <c r="AK6" s="141"/>
      <c r="AL6" s="141"/>
      <c r="AM6" s="141"/>
      <c r="AN6" s="141"/>
      <c r="AO6" s="141"/>
      <c r="AP6" s="141"/>
      <c r="AQ6" s="141"/>
      <c r="AR6" s="141"/>
      <c r="AS6" s="141"/>
      <c r="AT6" s="141"/>
      <c r="AU6" s="141"/>
      <c r="AV6" s="141"/>
      <c r="AW6" s="141"/>
      <c r="AX6" s="141"/>
      <c r="AY6" s="141"/>
      <c r="AZ6" s="141"/>
      <c r="BA6" s="141"/>
      <c r="BB6" s="141"/>
      <c r="BC6" s="141"/>
      <c r="BD6" s="141"/>
      <c r="BE6" s="147">
        <v>44655</v>
      </c>
      <c r="BF6" s="147">
        <v>44656</v>
      </c>
      <c r="BG6" s="147">
        <v>44657</v>
      </c>
      <c r="BH6" s="147">
        <v>44658</v>
      </c>
      <c r="BI6" s="147">
        <v>44659</v>
      </c>
      <c r="BJ6" s="147">
        <v>44660</v>
      </c>
      <c r="BK6" s="147">
        <v>44661</v>
      </c>
      <c r="BL6" s="147">
        <v>44662</v>
      </c>
      <c r="BM6" s="147">
        <v>44663</v>
      </c>
      <c r="BN6" s="147">
        <v>44664</v>
      </c>
      <c r="BO6" s="147">
        <v>44665</v>
      </c>
      <c r="BP6" s="147">
        <v>44666</v>
      </c>
      <c r="BQ6" s="147">
        <v>44667</v>
      </c>
      <c r="BR6" s="147">
        <v>44668</v>
      </c>
      <c r="BS6" s="147">
        <v>44669</v>
      </c>
      <c r="BT6" s="147">
        <v>44670</v>
      </c>
      <c r="BU6" s="147">
        <v>44671</v>
      </c>
      <c r="BV6" s="147">
        <v>44672</v>
      </c>
      <c r="BW6" s="147">
        <v>44673</v>
      </c>
      <c r="BX6" s="147">
        <v>44674</v>
      </c>
      <c r="BY6" s="147">
        <v>44675</v>
      </c>
      <c r="BZ6" s="147">
        <v>44676</v>
      </c>
      <c r="CA6" s="147">
        <v>44677</v>
      </c>
      <c r="CB6" s="147">
        <v>44678</v>
      </c>
      <c r="CC6" s="147">
        <v>44679</v>
      </c>
      <c r="CD6" s="147">
        <v>44680</v>
      </c>
      <c r="CE6" s="147">
        <v>44681</v>
      </c>
      <c r="CF6" s="147">
        <v>44682</v>
      </c>
      <c r="CG6" s="147">
        <v>44683</v>
      </c>
      <c r="CH6" s="147">
        <v>44684</v>
      </c>
      <c r="CI6" s="147">
        <v>44685</v>
      </c>
      <c r="CJ6" s="147">
        <v>44686</v>
      </c>
      <c r="CK6" s="147">
        <v>44687</v>
      </c>
      <c r="CL6" s="147">
        <v>44688</v>
      </c>
      <c r="CM6" s="147">
        <v>44689</v>
      </c>
    </row>
    <row r="7" spans="1:101" x14ac:dyDescent="0.25">
      <c r="J7" s="139" t="s">
        <v>286</v>
      </c>
      <c r="BE7" s="148" t="s">
        <v>291</v>
      </c>
      <c r="BF7" s="148"/>
      <c r="BG7" s="148"/>
      <c r="BH7" s="148"/>
      <c r="BI7" s="148"/>
      <c r="BJ7" s="148"/>
      <c r="BK7" s="148"/>
      <c r="BL7" s="149" t="s">
        <v>292</v>
      </c>
      <c r="BM7" s="149"/>
      <c r="BN7" s="149"/>
      <c r="BO7" s="149"/>
      <c r="BP7" s="149"/>
      <c r="BQ7" s="149"/>
      <c r="BR7" s="149"/>
      <c r="BS7" s="148" t="s">
        <v>293</v>
      </c>
      <c r="BT7" s="148"/>
      <c r="BU7" s="148"/>
      <c r="BV7" s="148"/>
      <c r="BW7" s="148"/>
      <c r="BX7" s="148"/>
      <c r="BY7" s="148"/>
      <c r="BZ7" s="149" t="s">
        <v>294</v>
      </c>
      <c r="CA7" s="149"/>
      <c r="CB7" s="149"/>
      <c r="CC7" s="149"/>
      <c r="CD7" s="149"/>
      <c r="CE7" s="149"/>
      <c r="CF7" s="149"/>
      <c r="CG7" s="148" t="s">
        <v>295</v>
      </c>
      <c r="CH7" s="148"/>
      <c r="CI7" s="148"/>
      <c r="CJ7" s="148"/>
      <c r="CK7" s="148"/>
      <c r="CL7" s="148"/>
      <c r="CM7" s="148"/>
    </row>
    <row r="8" spans="1:101" x14ac:dyDescent="0.25">
      <c r="H8" s="171"/>
      <c r="I8" s="171"/>
      <c r="J8" s="172" t="s">
        <v>287</v>
      </c>
      <c r="K8" s="173"/>
      <c r="L8" s="174"/>
      <c r="M8" s="171"/>
      <c r="N8" s="173"/>
      <c r="O8" s="175"/>
      <c r="P8" s="175"/>
      <c r="Q8" s="175"/>
      <c r="R8" s="175"/>
      <c r="S8" s="175"/>
      <c r="T8" s="175"/>
      <c r="U8" s="175"/>
      <c r="V8" s="171"/>
      <c r="W8" s="171"/>
      <c r="X8" s="176"/>
      <c r="Y8" s="175"/>
      <c r="Z8" s="175"/>
      <c r="AA8" s="175"/>
      <c r="AB8" s="175"/>
      <c r="AC8" s="175"/>
      <c r="AD8" s="175"/>
      <c r="AE8" s="177"/>
      <c r="AF8" s="171"/>
      <c r="AG8" s="171"/>
      <c r="AH8" s="171"/>
      <c r="AI8" s="171"/>
      <c r="AJ8" s="171"/>
      <c r="AK8" s="171"/>
      <c r="AL8" s="171"/>
      <c r="AM8" s="171"/>
      <c r="AN8" s="171"/>
      <c r="AO8" s="171"/>
      <c r="AP8" s="171"/>
      <c r="AQ8" s="171"/>
      <c r="AR8" s="171"/>
      <c r="AS8" s="171"/>
      <c r="AT8" s="171"/>
      <c r="AU8" s="171"/>
      <c r="AV8" s="171"/>
      <c r="AW8" s="171"/>
      <c r="AX8" s="171"/>
      <c r="AY8" s="171"/>
      <c r="AZ8" s="171"/>
      <c r="BA8" s="171"/>
      <c r="BB8" s="171"/>
      <c r="BC8" s="171"/>
      <c r="BD8" s="178"/>
      <c r="BE8" s="179">
        <v>4</v>
      </c>
      <c r="BF8" s="179">
        <v>5</v>
      </c>
      <c r="BG8" s="179">
        <v>6</v>
      </c>
      <c r="BH8" s="179">
        <v>7</v>
      </c>
      <c r="BI8" s="179">
        <v>8</v>
      </c>
      <c r="BJ8" s="179">
        <v>9</v>
      </c>
      <c r="BK8" s="179">
        <v>10</v>
      </c>
      <c r="BL8" s="179">
        <v>11</v>
      </c>
      <c r="BM8" s="179">
        <v>12</v>
      </c>
      <c r="BN8" s="179">
        <v>13</v>
      </c>
      <c r="BO8" s="179">
        <v>14</v>
      </c>
      <c r="BP8" s="179">
        <v>15</v>
      </c>
      <c r="BQ8" s="179">
        <v>16</v>
      </c>
      <c r="BR8" s="179">
        <v>17</v>
      </c>
      <c r="BS8" s="179">
        <v>18</v>
      </c>
      <c r="BT8" s="179">
        <v>19</v>
      </c>
      <c r="BU8" s="179">
        <v>20</v>
      </c>
      <c r="BV8" s="179">
        <v>21</v>
      </c>
      <c r="BW8" s="179">
        <v>22</v>
      </c>
      <c r="BX8" s="179">
        <v>23</v>
      </c>
      <c r="BY8" s="179">
        <v>24</v>
      </c>
      <c r="BZ8" s="179">
        <v>25</v>
      </c>
      <c r="CA8" s="179">
        <v>26</v>
      </c>
      <c r="CB8" s="179">
        <v>27</v>
      </c>
      <c r="CC8" s="179">
        <v>28</v>
      </c>
      <c r="CD8" s="179">
        <v>29</v>
      </c>
      <c r="CE8" s="179">
        <v>30</v>
      </c>
      <c r="CF8" s="179">
        <v>1</v>
      </c>
      <c r="CG8" s="179">
        <v>2</v>
      </c>
      <c r="CH8" s="179">
        <v>3</v>
      </c>
      <c r="CI8" s="179">
        <v>4</v>
      </c>
      <c r="CJ8" s="179">
        <v>5</v>
      </c>
      <c r="CK8" s="179">
        <v>6</v>
      </c>
      <c r="CL8" s="179">
        <v>7</v>
      </c>
      <c r="CM8" s="179">
        <v>8</v>
      </c>
      <c r="CN8" s="150"/>
    </row>
    <row r="9" spans="1:101" ht="24" customHeight="1" x14ac:dyDescent="0.25">
      <c r="A9" s="134" t="s">
        <v>234</v>
      </c>
      <c r="B9" s="134" t="s">
        <v>226</v>
      </c>
      <c r="C9" s="134" t="s">
        <v>227</v>
      </c>
      <c r="D9" s="134" t="s">
        <v>228</v>
      </c>
      <c r="E9" s="134" t="s">
        <v>229</v>
      </c>
      <c r="F9" s="134" t="s">
        <v>230</v>
      </c>
      <c r="G9" s="134" t="s">
        <v>160</v>
      </c>
      <c r="H9" s="151"/>
      <c r="I9" s="151"/>
      <c r="J9" s="151" t="s">
        <v>27</v>
      </c>
      <c r="K9" s="151" t="s">
        <v>26</v>
      </c>
      <c r="L9" s="151" t="s">
        <v>137</v>
      </c>
      <c r="M9" s="151" t="s">
        <v>138</v>
      </c>
      <c r="N9" s="151" t="s">
        <v>225</v>
      </c>
      <c r="O9" s="151" t="s">
        <v>232</v>
      </c>
      <c r="P9" s="151" t="s">
        <v>264</v>
      </c>
      <c r="Q9" s="151" t="s">
        <v>265</v>
      </c>
      <c r="R9" s="151" t="s">
        <v>266</v>
      </c>
      <c r="S9" s="151" t="s">
        <v>267</v>
      </c>
      <c r="T9" s="151" t="s">
        <v>268</v>
      </c>
      <c r="U9" s="151" t="s">
        <v>269</v>
      </c>
      <c r="V9" s="151" t="s">
        <v>223</v>
      </c>
      <c r="W9" s="151" t="s">
        <v>233</v>
      </c>
      <c r="X9" s="152" t="s">
        <v>270</v>
      </c>
      <c r="Y9" s="151" t="s">
        <v>271</v>
      </c>
      <c r="Z9" s="151" t="s">
        <v>272</v>
      </c>
      <c r="AA9" s="151" t="s">
        <v>273</v>
      </c>
      <c r="AB9" s="151" t="s">
        <v>192</v>
      </c>
      <c r="AC9" s="151" t="s">
        <v>274</v>
      </c>
      <c r="AD9" s="151" t="s">
        <v>193</v>
      </c>
      <c r="AE9" s="153" t="s">
        <v>12</v>
      </c>
      <c r="AF9" s="151" t="s">
        <v>275</v>
      </c>
      <c r="AG9" s="151" t="s">
        <v>276</v>
      </c>
      <c r="AH9" s="151" t="s">
        <v>277</v>
      </c>
      <c r="AI9" s="151" t="s">
        <v>278</v>
      </c>
      <c r="AJ9" s="151" t="s">
        <v>172</v>
      </c>
      <c r="AK9" s="151" t="s">
        <v>173</v>
      </c>
      <c r="AL9" s="151" t="s">
        <v>174</v>
      </c>
      <c r="AM9" s="151" t="s">
        <v>175</v>
      </c>
      <c r="AN9" s="151" t="s">
        <v>176</v>
      </c>
      <c r="AO9" s="151" t="s">
        <v>177</v>
      </c>
      <c r="AP9" s="151" t="s">
        <v>178</v>
      </c>
      <c r="AQ9" s="151" t="s">
        <v>179</v>
      </c>
      <c r="AR9" s="151" t="s">
        <v>180</v>
      </c>
      <c r="AS9" s="151" t="s">
        <v>181</v>
      </c>
      <c r="AT9" s="151" t="s">
        <v>182</v>
      </c>
      <c r="AU9" s="151" t="s">
        <v>183</v>
      </c>
      <c r="AV9" s="151" t="s">
        <v>184</v>
      </c>
      <c r="AW9" s="151" t="s">
        <v>185</v>
      </c>
      <c r="AX9" s="151" t="s">
        <v>186</v>
      </c>
      <c r="AY9" s="151" t="s">
        <v>187</v>
      </c>
      <c r="AZ9" s="151" t="s">
        <v>188</v>
      </c>
      <c r="BA9" s="151" t="s">
        <v>189</v>
      </c>
      <c r="BB9" s="151" t="s">
        <v>190</v>
      </c>
      <c r="BC9" s="151" t="s">
        <v>191</v>
      </c>
      <c r="BD9" s="154"/>
      <c r="BE9" s="155" t="s">
        <v>282</v>
      </c>
      <c r="BF9" s="155" t="s">
        <v>167</v>
      </c>
      <c r="BG9" s="155" t="s">
        <v>283</v>
      </c>
      <c r="BH9" s="155" t="s">
        <v>167</v>
      </c>
      <c r="BI9" s="155" t="s">
        <v>284</v>
      </c>
      <c r="BJ9" s="156" t="s">
        <v>194</v>
      </c>
      <c r="BK9" s="156" t="s">
        <v>194</v>
      </c>
      <c r="BL9" s="155" t="s">
        <v>282</v>
      </c>
      <c r="BM9" s="155" t="s">
        <v>167</v>
      </c>
      <c r="BN9" s="155" t="s">
        <v>283</v>
      </c>
      <c r="BO9" s="155" t="s">
        <v>167</v>
      </c>
      <c r="BP9" s="155" t="s">
        <v>284</v>
      </c>
      <c r="BQ9" s="156" t="s">
        <v>194</v>
      </c>
      <c r="BR9" s="156" t="s">
        <v>194</v>
      </c>
      <c r="BS9" s="155" t="s">
        <v>282</v>
      </c>
      <c r="BT9" s="155" t="s">
        <v>167</v>
      </c>
      <c r="BU9" s="155" t="s">
        <v>283</v>
      </c>
      <c r="BV9" s="155" t="s">
        <v>167</v>
      </c>
      <c r="BW9" s="155" t="s">
        <v>284</v>
      </c>
      <c r="BX9" s="156" t="s">
        <v>194</v>
      </c>
      <c r="BY9" s="156" t="s">
        <v>194</v>
      </c>
      <c r="BZ9" s="155" t="s">
        <v>282</v>
      </c>
      <c r="CA9" s="155" t="s">
        <v>167</v>
      </c>
      <c r="CB9" s="155" t="s">
        <v>283</v>
      </c>
      <c r="CC9" s="155" t="s">
        <v>167</v>
      </c>
      <c r="CD9" s="155" t="s">
        <v>284</v>
      </c>
      <c r="CE9" s="156" t="s">
        <v>194</v>
      </c>
      <c r="CF9" s="156" t="s">
        <v>194</v>
      </c>
      <c r="CG9" s="155" t="s">
        <v>282</v>
      </c>
      <c r="CH9" s="155" t="s">
        <v>167</v>
      </c>
      <c r="CI9" s="155" t="s">
        <v>283</v>
      </c>
      <c r="CJ9" s="155" t="s">
        <v>167</v>
      </c>
      <c r="CK9" s="155" t="s">
        <v>284</v>
      </c>
      <c r="CL9" s="156" t="s">
        <v>194</v>
      </c>
      <c r="CM9" s="156" t="s">
        <v>194</v>
      </c>
      <c r="CN9" s="150"/>
    </row>
    <row r="10" spans="1:101" s="158" customFormat="1" ht="18" customHeight="1" x14ac:dyDescent="0.25">
      <c r="A10" s="134" t="s">
        <v>167</v>
      </c>
      <c r="B10" s="134">
        <v>1</v>
      </c>
      <c r="C10" s="134"/>
      <c r="D10" s="134"/>
      <c r="E10" s="134"/>
      <c r="F10" s="134"/>
      <c r="G10" s="134">
        <v>0</v>
      </c>
      <c r="H10" s="180"/>
      <c r="I10" s="181" t="s">
        <v>169</v>
      </c>
      <c r="J10" s="182">
        <v>1</v>
      </c>
      <c r="K10" s="182" t="s">
        <v>243</v>
      </c>
      <c r="L10" s="183" t="s">
        <v>168</v>
      </c>
      <c r="M10" s="184" t="s">
        <v>58</v>
      </c>
      <c r="N10" s="182"/>
      <c r="O10" s="185"/>
      <c r="P10" s="186"/>
      <c r="Q10" s="186"/>
      <c r="R10" s="187"/>
      <c r="S10" s="186">
        <v>44657</v>
      </c>
      <c r="T10" s="186">
        <v>44670</v>
      </c>
      <c r="U10" s="187">
        <v>10</v>
      </c>
      <c r="V10" s="182"/>
      <c r="W10" s="188">
        <v>0</v>
      </c>
      <c r="X10" s="189">
        <v>0</v>
      </c>
      <c r="Y10" s="186"/>
      <c r="Z10" s="186"/>
      <c r="AA10" s="187"/>
      <c r="AB10" s="185"/>
      <c r="AC10" s="185"/>
      <c r="AD10" s="185"/>
      <c r="AE10" s="190"/>
      <c r="AF10" s="182"/>
      <c r="AG10" s="182"/>
      <c r="AH10" s="182"/>
      <c r="AI10" s="182"/>
      <c r="AJ10" s="182"/>
      <c r="AK10" s="182"/>
      <c r="AL10" s="182"/>
      <c r="AM10" s="182"/>
      <c r="AN10" s="182"/>
      <c r="AO10" s="182"/>
      <c r="AP10" s="182"/>
      <c r="AQ10" s="182"/>
      <c r="AR10" s="182"/>
      <c r="AS10" s="182"/>
      <c r="AT10" s="182"/>
      <c r="AU10" s="182"/>
      <c r="AV10" s="182"/>
      <c r="AW10" s="182"/>
      <c r="AX10" s="182"/>
      <c r="AY10" s="182"/>
      <c r="AZ10" s="182"/>
      <c r="BA10" s="182"/>
      <c r="BB10" s="182"/>
      <c r="BC10" s="182"/>
      <c r="BD10" s="191"/>
      <c r="BE10" s="192"/>
      <c r="BF10" s="192"/>
      <c r="BG10" s="192"/>
      <c r="BH10" s="192"/>
      <c r="BI10" s="192"/>
      <c r="BJ10" s="192"/>
      <c r="BK10" s="192"/>
      <c r="BL10" s="192"/>
      <c r="BM10" s="192"/>
      <c r="BN10" s="192"/>
      <c r="BO10" s="192"/>
      <c r="BP10" s="192"/>
      <c r="BQ10" s="192"/>
      <c r="BR10" s="192"/>
      <c r="BS10" s="192"/>
      <c r="BT10" s="192"/>
      <c r="BU10" s="192"/>
      <c r="BV10" s="192"/>
      <c r="BW10" s="192"/>
      <c r="BX10" s="192"/>
      <c r="BY10" s="192"/>
      <c r="BZ10" s="192"/>
      <c r="CA10" s="192"/>
      <c r="CB10" s="192"/>
      <c r="CC10" s="192"/>
      <c r="CD10" s="192"/>
      <c r="CE10" s="192"/>
      <c r="CF10" s="192"/>
      <c r="CG10" s="192"/>
      <c r="CH10" s="192"/>
      <c r="CI10" s="192"/>
      <c r="CJ10" s="192"/>
      <c r="CK10" s="192"/>
      <c r="CL10" s="192"/>
      <c r="CM10" s="192"/>
      <c r="CN10" s="150"/>
      <c r="CO10"/>
      <c r="CP10"/>
      <c r="CQ10"/>
      <c r="CR10"/>
      <c r="CS10"/>
      <c r="CT10"/>
      <c r="CU10"/>
      <c r="CV10"/>
      <c r="CW10"/>
    </row>
    <row r="11" spans="1:101" x14ac:dyDescent="0.25">
      <c r="H11" s="193"/>
      <c r="I11" s="193"/>
      <c r="J11" s="194"/>
      <c r="K11" s="195" t="s">
        <v>285</v>
      </c>
      <c r="L11" s="196"/>
      <c r="M11" s="193"/>
      <c r="N11" s="194"/>
      <c r="O11" s="197"/>
      <c r="P11" s="198"/>
      <c r="Q11" s="198"/>
      <c r="R11" s="197"/>
      <c r="S11" s="198"/>
      <c r="T11" s="198"/>
      <c r="U11" s="197"/>
      <c r="V11" s="193"/>
      <c r="W11" s="193"/>
      <c r="X11" s="199"/>
      <c r="Y11" s="198"/>
      <c r="Z11" s="198"/>
      <c r="AA11" s="197"/>
      <c r="AB11" s="197"/>
      <c r="AC11" s="197"/>
      <c r="AD11" s="197"/>
      <c r="AE11" s="200"/>
      <c r="AF11" s="193"/>
      <c r="AG11" s="193"/>
      <c r="AH11" s="193"/>
      <c r="AI11" s="193"/>
      <c r="AJ11" s="193"/>
      <c r="AK11" s="193"/>
      <c r="AL11" s="193"/>
      <c r="AM11" s="193"/>
      <c r="AN11" s="193"/>
      <c r="AO11" s="193"/>
      <c r="AP11" s="193"/>
      <c r="AQ11" s="193"/>
      <c r="AR11" s="193"/>
      <c r="AS11" s="193"/>
      <c r="AT11" s="193"/>
      <c r="AU11" s="193"/>
      <c r="AV11" s="193"/>
      <c r="AW11" s="193"/>
      <c r="AX11" s="193"/>
      <c r="AY11" s="193"/>
      <c r="AZ11" s="193"/>
      <c r="BA11" s="193"/>
      <c r="BB11" s="193"/>
      <c r="BC11" s="193"/>
      <c r="BD11" s="193"/>
      <c r="BE11" s="201"/>
      <c r="BF11" s="201"/>
      <c r="BG11" s="201"/>
      <c r="BH11" s="201"/>
      <c r="BI11" s="201"/>
      <c r="BJ11" s="201"/>
      <c r="BK11" s="201"/>
      <c r="BL11" s="201"/>
      <c r="BM11" s="201"/>
      <c r="BN11" s="201"/>
      <c r="BO11" s="201"/>
      <c r="BP11" s="201"/>
      <c r="BQ11" s="201"/>
      <c r="BR11" s="201"/>
      <c r="BS11" s="201"/>
      <c r="BT11" s="201"/>
      <c r="BU11" s="201"/>
      <c r="BV11" s="201"/>
      <c r="BW11" s="201"/>
      <c r="BX11" s="201"/>
      <c r="BY11" s="201"/>
      <c r="BZ11" s="201"/>
      <c r="CA11" s="201"/>
      <c r="CB11" s="201"/>
      <c r="CC11" s="201"/>
      <c r="CD11" s="201"/>
      <c r="CE11" s="201"/>
      <c r="CF11" s="201"/>
      <c r="CG11" s="201"/>
      <c r="CH11" s="201"/>
      <c r="CI11" s="201"/>
      <c r="CJ11" s="201"/>
      <c r="CK11" s="201"/>
      <c r="CL11" s="201"/>
      <c r="CM11" s="201"/>
    </row>
    <row r="12" spans="1:101" x14ac:dyDescent="0.25">
      <c r="P12" s="157"/>
      <c r="Q12" s="157"/>
      <c r="S12" s="157"/>
      <c r="T12" s="157"/>
      <c r="Y12" s="157"/>
      <c r="Z12" s="157"/>
    </row>
  </sheetData>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iconSet" priority="1" id="{EC4F8605-D746-44D0-8D83-2F60A97DA702}">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W10</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
  <dimension ref="B2:VGB31"/>
  <sheetViews>
    <sheetView showGridLines="0" showRowColHeaders="0" zoomScaleNormal="100" workbookViewId="0">
      <selection activeCell="F4" sqref="F4"/>
    </sheetView>
  </sheetViews>
  <sheetFormatPr defaultColWidth="9.140625" defaultRowHeight="15" x14ac:dyDescent="0.25"/>
  <cols>
    <col min="1" max="1" width="9.140625" style="76"/>
    <col min="2" max="2" width="1" style="76" customWidth="1"/>
    <col min="3" max="3" width="6.28515625" style="76" customWidth="1"/>
    <col min="4" max="4" width="1.28515625" style="76" customWidth="1"/>
    <col min="5" max="15" width="9.140625" style="76" customWidth="1"/>
    <col min="16" max="16" width="9.28515625" style="76" customWidth="1"/>
    <col min="17" max="18" width="9.140625" style="76" customWidth="1"/>
    <col min="19" max="19" width="8.28515625" style="76" customWidth="1"/>
    <col min="20" max="20" width="9.140625" style="76" customWidth="1"/>
    <col min="21" max="21" width="9.28515625" style="76" customWidth="1"/>
    <col min="22" max="22" width="2" style="76" customWidth="1"/>
    <col min="23" max="23" width="0.85546875" style="76" customWidth="1"/>
    <col min="24" max="16384" width="9.140625" style="76"/>
  </cols>
  <sheetData>
    <row r="2" spans="2:23 15055:15056" ht="5.25" customHeight="1" x14ac:dyDescent="0.25">
      <c r="B2" s="19"/>
      <c r="C2" s="19" t="s">
        <v>2</v>
      </c>
      <c r="D2" s="19"/>
      <c r="E2" s="19"/>
      <c r="F2" s="19"/>
      <c r="G2" s="19"/>
      <c r="H2" s="19"/>
      <c r="I2" s="19"/>
      <c r="J2" s="19"/>
      <c r="K2" s="19"/>
      <c r="L2" s="19"/>
      <c r="M2" s="19"/>
      <c r="N2" s="19"/>
      <c r="O2" s="19"/>
      <c r="P2" s="19"/>
      <c r="Q2" s="19"/>
      <c r="R2" s="19"/>
      <c r="S2" s="19"/>
      <c r="T2" s="19"/>
      <c r="U2" s="19"/>
      <c r="V2" s="19"/>
      <c r="W2" s="19"/>
    </row>
    <row r="3" spans="2:23 15055:15056" ht="15" customHeight="1" x14ac:dyDescent="0.25">
      <c r="B3" s="19"/>
      <c r="C3" s="33"/>
      <c r="D3" s="33"/>
      <c r="E3" s="33"/>
      <c r="F3" s="33"/>
      <c r="G3" s="33"/>
      <c r="H3" s="33"/>
      <c r="I3" s="33"/>
      <c r="J3" s="33"/>
      <c r="K3" s="33"/>
      <c r="L3" s="33"/>
      <c r="M3" s="33"/>
      <c r="N3" s="33"/>
      <c r="O3" s="33"/>
      <c r="P3" s="33"/>
      <c r="Q3" s="33"/>
      <c r="R3" s="33"/>
      <c r="S3" s="33"/>
      <c r="T3" s="33"/>
      <c r="U3" s="64"/>
      <c r="V3" s="65"/>
      <c r="W3" s="19"/>
      <c r="VGA3" s="66" t="s">
        <v>73</v>
      </c>
      <c r="VGB3" s="66" t="s">
        <v>74</v>
      </c>
    </row>
    <row r="4" spans="2:23 15055:15056" ht="15" customHeight="1" x14ac:dyDescent="0.25">
      <c r="B4" s="19"/>
      <c r="C4" s="33"/>
      <c r="D4" s="33"/>
      <c r="H4" s="169" t="s">
        <v>157</v>
      </c>
      <c r="I4" s="169"/>
      <c r="J4" s="169"/>
      <c r="K4" s="169"/>
      <c r="L4" s="169"/>
      <c r="M4" s="169"/>
      <c r="N4" s="169"/>
      <c r="O4" s="169"/>
      <c r="P4" s="169"/>
      <c r="Q4" s="169"/>
      <c r="R4" s="169"/>
      <c r="S4" s="169"/>
      <c r="T4" s="33"/>
      <c r="U4" s="33"/>
      <c r="V4" s="33"/>
      <c r="W4" s="19"/>
    </row>
    <row r="5" spans="2:23 15055:15056" ht="15" customHeight="1" x14ac:dyDescent="0.55000000000000004">
      <c r="B5" s="19"/>
      <c r="C5" s="33"/>
      <c r="D5" s="33"/>
      <c r="G5" s="90"/>
      <c r="H5" s="169"/>
      <c r="I5" s="169"/>
      <c r="J5" s="169"/>
      <c r="K5" s="169"/>
      <c r="L5" s="169"/>
      <c r="M5" s="169"/>
      <c r="N5" s="169"/>
      <c r="O5" s="169"/>
      <c r="P5" s="169"/>
      <c r="Q5" s="169"/>
      <c r="R5" s="169"/>
      <c r="S5" s="169"/>
      <c r="W5" s="19"/>
    </row>
    <row r="6" spans="2:23 15055:15056" ht="35.450000000000003" customHeight="1" x14ac:dyDescent="0.25">
      <c r="B6" s="19"/>
      <c r="C6" s="33"/>
      <c r="D6" s="33"/>
      <c r="K6" s="67"/>
      <c r="L6" s="67"/>
      <c r="M6" s="67"/>
      <c r="N6" s="67"/>
      <c r="O6" s="67"/>
      <c r="P6" s="67"/>
      <c r="Q6" s="33"/>
      <c r="R6" s="33"/>
      <c r="S6" s="68"/>
      <c r="T6" s="33"/>
      <c r="U6" s="33"/>
      <c r="V6" s="33"/>
      <c r="W6" s="19"/>
    </row>
    <row r="7" spans="2:23 15055:15056" ht="15" customHeight="1" x14ac:dyDescent="0.25">
      <c r="B7" s="19"/>
      <c r="C7" s="69" t="s">
        <v>156</v>
      </c>
      <c r="D7" s="33"/>
      <c r="K7" s="67"/>
      <c r="L7" s="67"/>
      <c r="M7" s="67"/>
      <c r="N7" s="67"/>
      <c r="O7" s="67"/>
      <c r="P7" s="67"/>
      <c r="Q7" s="33"/>
      <c r="R7" s="33"/>
      <c r="S7" s="68"/>
      <c r="T7" s="33"/>
      <c r="U7" s="33"/>
      <c r="V7" s="33"/>
      <c r="W7" s="19"/>
    </row>
    <row r="8" spans="2:23 15055:15056" ht="3.95" customHeight="1" x14ac:dyDescent="0.25">
      <c r="B8" s="19"/>
      <c r="C8" s="19"/>
      <c r="D8" s="19"/>
      <c r="E8" s="19"/>
      <c r="F8" s="19"/>
      <c r="G8" s="19"/>
      <c r="H8" s="19"/>
      <c r="I8" s="19"/>
      <c r="J8" s="19"/>
      <c r="K8" s="70"/>
      <c r="L8" s="70"/>
      <c r="M8" s="70"/>
      <c r="N8" s="70"/>
      <c r="O8" s="70"/>
      <c r="P8" s="70"/>
      <c r="Q8" s="19"/>
      <c r="R8" s="19"/>
      <c r="S8" s="71"/>
      <c r="T8" s="19"/>
      <c r="U8" s="19"/>
      <c r="V8" s="19"/>
      <c r="W8" s="19"/>
    </row>
    <row r="9" spans="2:23 15055:15056" ht="45.75" customHeight="1" x14ac:dyDescent="0.25">
      <c r="B9" s="19"/>
      <c r="G9" s="168" t="s">
        <v>1</v>
      </c>
      <c r="H9" s="168"/>
      <c r="I9" s="168"/>
      <c r="J9" s="168"/>
      <c r="K9" s="168"/>
      <c r="L9" s="168"/>
      <c r="M9" s="168"/>
      <c r="N9" s="168"/>
      <c r="O9" s="168"/>
      <c r="P9" s="168"/>
      <c r="Q9" s="168"/>
      <c r="R9" s="168"/>
      <c r="S9" s="168"/>
      <c r="W9" s="19"/>
    </row>
    <row r="10" spans="2:23 15055:15056" ht="15" customHeight="1" x14ac:dyDescent="0.3">
      <c r="B10" s="19"/>
      <c r="C10" s="76">
        <v>1</v>
      </c>
      <c r="D10" s="72">
        <v>1</v>
      </c>
      <c r="E10" s="73" t="s">
        <v>80</v>
      </c>
      <c r="F10" s="33"/>
      <c r="G10" s="168"/>
      <c r="H10" s="168"/>
      <c r="I10" s="168"/>
      <c r="J10" s="168"/>
      <c r="K10" s="168"/>
      <c r="L10" s="168"/>
      <c r="M10" s="168"/>
      <c r="N10" s="168"/>
      <c r="O10" s="168"/>
      <c r="P10" s="168"/>
      <c r="Q10" s="168"/>
      <c r="R10" s="168"/>
      <c r="S10" s="168"/>
      <c r="T10" s="74"/>
      <c r="U10" s="74"/>
      <c r="V10" s="74"/>
      <c r="W10" s="19"/>
    </row>
    <row r="11" spans="2:23 15055:15056" ht="15" customHeight="1" x14ac:dyDescent="0.25">
      <c r="B11" s="19"/>
      <c r="E11" s="170" t="s">
        <v>70</v>
      </c>
      <c r="F11" s="167"/>
      <c r="G11" s="167"/>
      <c r="H11" s="167"/>
      <c r="I11" s="167"/>
      <c r="W11" s="19"/>
    </row>
    <row r="12" spans="2:23 15055:15056" ht="15" customHeight="1" x14ac:dyDescent="0.25">
      <c r="B12" s="19"/>
      <c r="W12" s="19"/>
    </row>
    <row r="13" spans="2:23 15055:15056" ht="15" customHeight="1" x14ac:dyDescent="0.3">
      <c r="B13" s="19"/>
      <c r="C13" s="76">
        <v>2</v>
      </c>
      <c r="E13" s="73" t="s">
        <v>158</v>
      </c>
      <c r="W13" s="19"/>
    </row>
    <row r="14" spans="2:23 15055:15056" ht="15" customHeight="1" x14ac:dyDescent="0.25">
      <c r="B14" s="19"/>
      <c r="W14" s="19"/>
    </row>
    <row r="15" spans="2:23 15055:15056" ht="15" customHeight="1" x14ac:dyDescent="0.25">
      <c r="B15" s="19"/>
      <c r="W15" s="19"/>
    </row>
    <row r="16" spans="2:23 15055:15056" ht="15" customHeight="1" x14ac:dyDescent="0.25">
      <c r="B16" s="19"/>
      <c r="W16" s="19"/>
    </row>
    <row r="17" spans="2:23" ht="15" customHeight="1" x14ac:dyDescent="0.25">
      <c r="B17" s="19"/>
      <c r="W17" s="19"/>
    </row>
    <row r="18" spans="2:23" ht="15" customHeight="1" x14ac:dyDescent="0.25">
      <c r="B18" s="19"/>
      <c r="W18" s="19"/>
    </row>
    <row r="19" spans="2:23" ht="15" customHeight="1" x14ac:dyDescent="0.25">
      <c r="B19" s="19"/>
      <c r="W19" s="19"/>
    </row>
    <row r="20" spans="2:23" ht="15" customHeight="1" x14ac:dyDescent="0.25">
      <c r="B20" s="19"/>
      <c r="W20" s="19"/>
    </row>
    <row r="21" spans="2:23" ht="15" customHeight="1" x14ac:dyDescent="0.25">
      <c r="B21" s="19"/>
      <c r="W21" s="19"/>
    </row>
    <row r="22" spans="2:23" ht="15" customHeight="1" x14ac:dyDescent="0.25">
      <c r="B22" s="19"/>
      <c r="E22" s="170" t="s">
        <v>290</v>
      </c>
      <c r="F22" s="167"/>
      <c r="G22" s="167"/>
      <c r="H22" s="167"/>
      <c r="W22" s="19"/>
    </row>
    <row r="23" spans="2:23" ht="15" customHeight="1" x14ac:dyDescent="0.25">
      <c r="B23" s="19"/>
      <c r="E23" s="170" t="s">
        <v>0</v>
      </c>
      <c r="F23" s="167"/>
      <c r="G23" s="167"/>
      <c r="H23" s="167"/>
      <c r="W23" s="19"/>
    </row>
    <row r="24" spans="2:23" ht="15" customHeight="1" x14ac:dyDescent="0.25">
      <c r="B24" s="19"/>
      <c r="W24" s="19"/>
    </row>
    <row r="25" spans="2:23" ht="3.75" customHeight="1" x14ac:dyDescent="0.25">
      <c r="B25" s="19"/>
      <c r="C25" s="19"/>
      <c r="D25" s="19"/>
      <c r="E25" s="19"/>
      <c r="F25" s="19"/>
      <c r="G25" s="19"/>
      <c r="H25" s="19"/>
      <c r="I25" s="19"/>
      <c r="J25" s="19"/>
      <c r="K25" s="19"/>
      <c r="L25" s="19"/>
      <c r="M25" s="19"/>
      <c r="N25" s="19"/>
      <c r="O25" s="19"/>
      <c r="P25" s="19"/>
      <c r="Q25" s="19"/>
      <c r="R25" s="19"/>
      <c r="S25" s="19"/>
      <c r="T25" s="19"/>
      <c r="U25" s="19"/>
      <c r="V25" s="19"/>
      <c r="W25" s="19"/>
    </row>
    <row r="26" spans="2:23" ht="15" customHeight="1" x14ac:dyDescent="0.25"/>
    <row r="31" spans="2:23" x14ac:dyDescent="0.25">
      <c r="H31" s="75"/>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hyperlink ref="E22" r:id="rId2" tooltip="Quick Start Guide"/>
    <hyperlink ref="E23" r:id="rId3" tooltip="Click Here For Documentation"/>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ST1"/>
  <dimension ref="A1:LZ7"/>
  <sheetViews>
    <sheetView workbookViewId="0">
      <selection activeCell="G26" sqref="G26"/>
    </sheetView>
  </sheetViews>
  <sheetFormatPr defaultColWidth="9.140625" defaultRowHeight="15" x14ac:dyDescent="0.25"/>
  <cols>
    <col min="1" max="11" width="9.140625" style="131"/>
    <col min="12" max="13" width="14.85546875" style="131" customWidth="1"/>
    <col min="14" max="14" width="12.85546875" style="131" customWidth="1"/>
    <col min="15" max="19" width="9.140625" style="131"/>
    <col min="20" max="20" width="12.7109375" style="131" customWidth="1"/>
    <col min="21" max="27" width="9.140625" style="131"/>
    <col min="28" max="28" width="19.7109375" style="131" customWidth="1"/>
    <col min="29" max="16384" width="9.140625" style="131"/>
  </cols>
  <sheetData>
    <row r="1" spans="1:338" x14ac:dyDescent="0.25">
      <c r="A1" s="11" t="s">
        <v>132</v>
      </c>
      <c r="B1" s="11" t="s">
        <v>146</v>
      </c>
      <c r="C1" s="76" t="s">
        <v>42</v>
      </c>
      <c r="D1" s="76" t="s">
        <v>62</v>
      </c>
      <c r="E1" s="76" t="s">
        <v>45</v>
      </c>
      <c r="F1" s="76" t="s">
        <v>53</v>
      </c>
      <c r="G1" s="76" t="s">
        <v>4</v>
      </c>
      <c r="H1" s="76" t="s">
        <v>6</v>
      </c>
      <c r="I1" s="76" t="s">
        <v>55</v>
      </c>
      <c r="J1" s="76" t="s">
        <v>54</v>
      </c>
      <c r="K1" s="76" t="s">
        <v>71</v>
      </c>
      <c r="L1" s="76" t="s">
        <v>148</v>
      </c>
      <c r="M1" s="76" t="s">
        <v>149</v>
      </c>
      <c r="N1" s="76" t="s">
        <v>64</v>
      </c>
      <c r="O1" s="76" t="s">
        <v>65</v>
      </c>
      <c r="P1" s="76" t="s">
        <v>51</v>
      </c>
      <c r="Q1" s="76" t="s">
        <v>50</v>
      </c>
      <c r="R1" s="76" t="s">
        <v>49</v>
      </c>
      <c r="S1" s="76" t="s">
        <v>48</v>
      </c>
      <c r="T1" s="76" t="s">
        <v>120</v>
      </c>
      <c r="U1" s="76" t="s">
        <v>121</v>
      </c>
      <c r="V1" s="76" t="s">
        <v>122</v>
      </c>
      <c r="W1" s="76" t="s">
        <v>123</v>
      </c>
      <c r="X1" s="76" t="s">
        <v>124</v>
      </c>
      <c r="Y1" s="76" t="s">
        <v>41</v>
      </c>
      <c r="Z1" s="76" t="s">
        <v>40</v>
      </c>
      <c r="AA1" s="76" t="s">
        <v>43</v>
      </c>
      <c r="AB1" s="76" t="s">
        <v>135</v>
      </c>
      <c r="AC1" s="76" t="s">
        <v>52</v>
      </c>
      <c r="AD1" s="76" t="s">
        <v>47</v>
      </c>
      <c r="AE1" s="76" t="s">
        <v>36</v>
      </c>
      <c r="AF1" s="76" t="s">
        <v>35</v>
      </c>
      <c r="AG1" s="76" t="s">
        <v>34</v>
      </c>
      <c r="AH1" s="76" t="s">
        <v>33</v>
      </c>
      <c r="AI1" s="76" t="s">
        <v>32</v>
      </c>
      <c r="AJ1" s="76" t="s">
        <v>31</v>
      </c>
      <c r="AK1" s="76" t="s">
        <v>30</v>
      </c>
      <c r="AL1" s="76" t="s">
        <v>66</v>
      </c>
      <c r="AM1" s="76" t="s">
        <v>67</v>
      </c>
      <c r="AN1" s="76"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76" t="s">
        <v>100</v>
      </c>
      <c r="BV1" s="76" t="s">
        <v>101</v>
      </c>
      <c r="BW1" s="76" t="s">
        <v>102</v>
      </c>
      <c r="BX1" s="76" t="s">
        <v>103</v>
      </c>
      <c r="BY1" s="76" t="s">
        <v>104</v>
      </c>
      <c r="BZ1" s="76" t="s">
        <v>105</v>
      </c>
      <c r="CA1" s="76" t="s">
        <v>106</v>
      </c>
      <c r="CB1" s="76" t="s">
        <v>107</v>
      </c>
      <c r="CC1" s="76" t="s">
        <v>108</v>
      </c>
      <c r="CD1" s="76" t="s">
        <v>109</v>
      </c>
      <c r="CE1" s="76" t="s">
        <v>110</v>
      </c>
      <c r="CF1" s="76" t="s">
        <v>112</v>
      </c>
      <c r="CG1" s="76" t="s">
        <v>111</v>
      </c>
      <c r="CH1" s="76" t="s">
        <v>115</v>
      </c>
      <c r="CI1" s="76" t="s">
        <v>117</v>
      </c>
      <c r="CJ1" s="76" t="s">
        <v>118</v>
      </c>
      <c r="CK1" s="76" t="s">
        <v>119</v>
      </c>
      <c r="CL1" s="76" t="s">
        <v>109</v>
      </c>
      <c r="CM1" s="76" t="s">
        <v>110</v>
      </c>
      <c r="CN1" s="76" t="s">
        <v>112</v>
      </c>
      <c r="CO1" s="76" t="s">
        <v>111</v>
      </c>
      <c r="CP1" s="76" t="s">
        <v>115</v>
      </c>
      <c r="CQ1" s="76" t="s">
        <v>117</v>
      </c>
      <c r="CR1" s="76" t="s">
        <v>118</v>
      </c>
      <c r="CS1" s="76" t="s">
        <v>119</v>
      </c>
      <c r="CT1" s="12" t="s">
        <v>133</v>
      </c>
      <c r="CU1" s="12" t="s">
        <v>128</v>
      </c>
      <c r="CV1" s="12" t="s">
        <v>134</v>
      </c>
      <c r="CW1" s="12" t="s">
        <v>131</v>
      </c>
      <c r="CX1" s="12" t="s">
        <v>130</v>
      </c>
      <c r="CY1" s="12" t="s">
        <v>147</v>
      </c>
      <c r="CZ1" s="12" t="s">
        <v>155</v>
      </c>
      <c r="DA1" s="12" t="s">
        <v>154</v>
      </c>
      <c r="DB1" s="12" t="s">
        <v>153</v>
      </c>
      <c r="DC1" s="12" t="s">
        <v>152</v>
      </c>
      <c r="DD1" s="12" t="s">
        <v>159</v>
      </c>
      <c r="LL1"/>
      <c r="LM1"/>
      <c r="LN1"/>
      <c r="LO1"/>
      <c r="LP1"/>
      <c r="LQ1"/>
      <c r="LR1"/>
      <c r="LS1"/>
      <c r="LT1"/>
      <c r="LU1"/>
      <c r="LV1"/>
      <c r="LW1"/>
      <c r="LX1"/>
      <c r="LY1"/>
      <c r="LZ1"/>
    </row>
    <row r="2" spans="1:338" x14ac:dyDescent="0.25">
      <c r="A2" s="76" t="s">
        <v>113</v>
      </c>
      <c r="B2" s="76">
        <v>0</v>
      </c>
      <c r="C2" s="76" t="s">
        <v>28</v>
      </c>
      <c r="D2" s="76" t="s">
        <v>63</v>
      </c>
      <c r="E2" s="76" t="b">
        <v>1</v>
      </c>
      <c r="F2" s="13" t="s">
        <v>8</v>
      </c>
      <c r="G2" s="14">
        <v>0</v>
      </c>
      <c r="H2" s="14">
        <v>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76" t="b">
        <v>1</v>
      </c>
      <c r="Z2" s="76" t="b">
        <v>0</v>
      </c>
      <c r="AA2" s="76">
        <v>0</v>
      </c>
      <c r="AB2" s="13">
        <v>1</v>
      </c>
      <c r="AC2" s="13" t="s">
        <v>29</v>
      </c>
      <c r="AD2" s="13">
        <v>1</v>
      </c>
      <c r="AE2" s="76" t="b">
        <v>1</v>
      </c>
      <c r="AF2" s="76">
        <v>20</v>
      </c>
      <c r="AG2" s="51" t="s">
        <v>127</v>
      </c>
      <c r="AH2" s="76" t="s">
        <v>26</v>
      </c>
      <c r="AI2" s="76" t="b">
        <v>1</v>
      </c>
      <c r="AJ2" s="76" t="b">
        <v>0</v>
      </c>
      <c r="AK2" s="76" t="b">
        <v>0</v>
      </c>
      <c r="AL2" s="76" t="s">
        <v>68</v>
      </c>
      <c r="AM2" s="76" t="s">
        <v>69</v>
      </c>
      <c r="AN2" s="76"/>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76">
        <v>240</v>
      </c>
      <c r="BU2" s="27">
        <v>34</v>
      </c>
      <c r="BV2" s="76">
        <v>4</v>
      </c>
      <c r="BW2" s="76">
        <v>1</v>
      </c>
      <c r="BX2" s="76">
        <v>1</v>
      </c>
      <c r="BY2" s="76">
        <v>1</v>
      </c>
      <c r="BZ2" s="76">
        <v>1</v>
      </c>
      <c r="CA2" s="76">
        <v>3</v>
      </c>
      <c r="CB2" s="76">
        <v>3</v>
      </c>
      <c r="CC2" s="76">
        <v>6</v>
      </c>
      <c r="CD2" s="76">
        <v>8</v>
      </c>
      <c r="CE2" s="76">
        <v>10</v>
      </c>
      <c r="CF2" s="76">
        <v>12</v>
      </c>
      <c r="CG2" s="76">
        <v>15</v>
      </c>
      <c r="CH2" s="76" t="b">
        <v>1</v>
      </c>
      <c r="CI2" s="13" t="b">
        <v>1</v>
      </c>
      <c r="CJ2" s="15">
        <v>44655</v>
      </c>
      <c r="CK2" s="15">
        <v>44689</v>
      </c>
      <c r="CL2" s="76">
        <v>6</v>
      </c>
      <c r="CM2" s="76">
        <v>10</v>
      </c>
      <c r="CN2" s="76">
        <v>12</v>
      </c>
      <c r="CO2" s="76">
        <v>15</v>
      </c>
      <c r="CP2" s="76" t="b">
        <v>1</v>
      </c>
      <c r="CQ2" s="13" t="b">
        <v>1</v>
      </c>
      <c r="CR2" s="15">
        <v>43617</v>
      </c>
      <c r="CS2" s="15">
        <v>43672</v>
      </c>
      <c r="CT2" s="131" t="s">
        <v>281</v>
      </c>
      <c r="CU2" s="131" t="b">
        <v>1</v>
      </c>
      <c r="CV2" s="131" t="b">
        <v>1</v>
      </c>
      <c r="CW2" s="131" t="b">
        <v>1</v>
      </c>
      <c r="CX2" s="131" t="b">
        <v>1</v>
      </c>
      <c r="CY2" s="131" t="b">
        <v>1</v>
      </c>
      <c r="CZ2" s="131">
        <v>2000</v>
      </c>
      <c r="DA2" s="131">
        <v>2050</v>
      </c>
      <c r="DB2" s="89">
        <v>36526</v>
      </c>
      <c r="DC2" s="89">
        <v>54789</v>
      </c>
      <c r="DD2" s="89">
        <v>44416</v>
      </c>
      <c r="LL2"/>
      <c r="LM2"/>
      <c r="LN2"/>
      <c r="LO2"/>
      <c r="LP2"/>
      <c r="LQ2"/>
      <c r="LR2"/>
      <c r="LS2"/>
      <c r="LT2"/>
      <c r="LU2"/>
      <c r="LV2"/>
      <c r="LW2"/>
      <c r="LX2"/>
      <c r="LY2"/>
      <c r="LZ2"/>
    </row>
    <row r="3" spans="1:338" x14ac:dyDescent="0.25">
      <c r="A3" s="76"/>
      <c r="B3" s="76"/>
      <c r="C3" s="76"/>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row>
    <row r="4" spans="1:338" x14ac:dyDescent="0.25">
      <c r="A4" s="76"/>
      <c r="B4" s="76"/>
      <c r="C4" s="76"/>
      <c r="D4" s="76"/>
      <c r="E4" s="76"/>
      <c r="F4" s="76"/>
      <c r="G4" s="76"/>
      <c r="H4" s="76"/>
      <c r="I4" s="76"/>
      <c r="J4" s="76"/>
      <c r="K4" s="76"/>
      <c r="L4" s="76"/>
      <c r="M4" s="76"/>
      <c r="N4" s="76"/>
      <c r="O4" s="76"/>
      <c r="P4" s="76"/>
      <c r="W4" s="76"/>
      <c r="X4" s="76"/>
      <c r="Y4" s="76"/>
      <c r="Z4" s="76"/>
      <c r="AA4" s="76"/>
      <c r="AB4" s="76"/>
      <c r="AC4" s="76"/>
      <c r="AD4" s="76"/>
      <c r="AE4" s="76"/>
      <c r="AF4" s="76"/>
      <c r="AG4" s="76"/>
      <c r="AH4" s="76"/>
      <c r="AI4" s="76"/>
      <c r="AJ4" s="76"/>
      <c r="AK4" s="76"/>
      <c r="AL4" s="76"/>
      <c r="AM4" s="76"/>
      <c r="AN4" s="76"/>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row>
    <row r="5" spans="1:338" x14ac:dyDescent="0.25">
      <c r="A5" s="76"/>
      <c r="B5" s="76"/>
      <c r="C5" s="76"/>
      <c r="D5" s="76"/>
      <c r="E5" s="76"/>
      <c r="F5" s="76"/>
      <c r="G5" s="76"/>
      <c r="H5" s="76"/>
      <c r="I5" s="76"/>
      <c r="J5" s="76"/>
      <c r="K5" s="76"/>
      <c r="L5" s="76"/>
      <c r="M5" s="76"/>
      <c r="N5" s="76"/>
      <c r="O5" s="76"/>
      <c r="P5" s="76"/>
      <c r="W5" s="76"/>
      <c r="X5" s="76"/>
      <c r="Y5" s="76"/>
      <c r="Z5" s="76"/>
      <c r="AA5" s="76"/>
      <c r="AB5" s="76"/>
      <c r="AC5" s="76"/>
      <c r="AD5" s="76"/>
      <c r="AE5" s="76"/>
      <c r="AF5" s="76"/>
      <c r="AG5" s="76"/>
      <c r="AH5" s="76"/>
      <c r="AI5" s="76"/>
      <c r="AJ5" s="76"/>
      <c r="AK5" s="76"/>
      <c r="AL5" s="76"/>
      <c r="AM5" s="76"/>
      <c r="AN5" s="76"/>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76"/>
      <c r="BU5" s="76"/>
      <c r="BV5" s="76"/>
      <c r="BW5" s="76"/>
      <c r="BX5" s="76"/>
      <c r="BY5" s="76"/>
      <c r="BZ5" s="76"/>
      <c r="CA5" s="76"/>
      <c r="CB5" s="76"/>
      <c r="CC5" s="76"/>
      <c r="CD5" s="76"/>
      <c r="CE5" s="76"/>
      <c r="CF5" s="76"/>
      <c r="CG5" s="76"/>
      <c r="CH5" s="76"/>
      <c r="CI5" s="76"/>
      <c r="CJ5" s="76"/>
      <c r="CK5" s="76"/>
      <c r="CL5" s="76"/>
      <c r="CM5" s="76"/>
      <c r="CN5" s="76"/>
      <c r="CO5" s="76"/>
      <c r="CP5" s="76"/>
      <c r="CQ5" s="76"/>
      <c r="CR5" s="76"/>
      <c r="CS5" s="76"/>
    </row>
    <row r="6" spans="1:338" x14ac:dyDescent="0.25">
      <c r="A6" s="76"/>
      <c r="B6" s="76"/>
      <c r="C6" s="76"/>
      <c r="D6" s="76"/>
      <c r="E6" s="76"/>
      <c r="F6" s="76"/>
      <c r="G6" s="76"/>
      <c r="H6" s="76"/>
      <c r="I6" s="76"/>
      <c r="J6" s="76"/>
      <c r="K6" s="76"/>
      <c r="L6" s="76"/>
      <c r="M6" s="76"/>
      <c r="N6" s="76"/>
      <c r="O6" s="76"/>
      <c r="P6" s="76"/>
      <c r="W6" s="76"/>
      <c r="X6" s="76"/>
      <c r="Y6" s="76"/>
      <c r="Z6" s="76"/>
      <c r="AA6" s="76"/>
      <c r="AB6" s="76"/>
      <c r="AC6" s="76"/>
      <c r="AD6" s="76"/>
      <c r="AE6" s="76"/>
      <c r="AF6" s="76"/>
      <c r="AG6" s="76"/>
      <c r="AH6" s="76"/>
      <c r="AI6" s="76"/>
      <c r="AJ6" s="76"/>
      <c r="AK6" s="76"/>
      <c r="AL6" s="76"/>
      <c r="AM6" s="76"/>
      <c r="AN6" s="76"/>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76"/>
      <c r="BU6" s="76"/>
      <c r="BV6" s="76"/>
      <c r="BW6" s="76"/>
      <c r="BX6" s="76"/>
      <c r="BY6" s="76"/>
      <c r="BZ6" s="76"/>
      <c r="CA6" s="76"/>
      <c r="CB6" s="76"/>
      <c r="CC6" s="76"/>
      <c r="CD6" s="76"/>
      <c r="CE6" s="76"/>
      <c r="CF6" s="76"/>
      <c r="CG6" s="76"/>
      <c r="CH6" s="76"/>
      <c r="CI6" s="76"/>
      <c r="CJ6" s="76"/>
      <c r="CK6" s="76"/>
      <c r="CL6" s="76"/>
      <c r="CM6" s="76"/>
      <c r="CN6" s="76"/>
      <c r="CO6" s="76"/>
      <c r="CP6" s="76"/>
      <c r="CQ6" s="76"/>
      <c r="CR6" s="76"/>
      <c r="CS6" s="76"/>
    </row>
    <row r="7" spans="1:338" x14ac:dyDescent="0.25">
      <c r="A7" s="76"/>
      <c r="B7" s="76"/>
      <c r="C7" s="76"/>
      <c r="D7" s="76"/>
      <c r="E7" s="76"/>
      <c r="F7" s="76"/>
      <c r="G7" s="76"/>
      <c r="H7" s="76"/>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row>
  </sheetData>
  <sheetProtection formatCells="0" formatColumns="0" formatRows="0" insertHyperlinks="0" autoFilter="0"/>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2"/>
  <sheetViews>
    <sheetView workbookViewId="0"/>
  </sheetViews>
  <sheetFormatPr defaultRowHeight="15" x14ac:dyDescent="0.25"/>
  <sheetData>
    <row r="1" spans="1:20" x14ac:dyDescent="0.25">
      <c r="A1" t="s">
        <v>225</v>
      </c>
      <c r="B1" t="s">
        <v>248</v>
      </c>
      <c r="C1" t="s">
        <v>249</v>
      </c>
      <c r="D1" t="s">
        <v>250</v>
      </c>
      <c r="K1" t="s">
        <v>251</v>
      </c>
      <c r="L1" t="s">
        <v>252</v>
      </c>
      <c r="M1" t="s">
        <v>253</v>
      </c>
      <c r="N1" t="s">
        <v>254</v>
      </c>
      <c r="O1" t="s">
        <v>255</v>
      </c>
      <c r="P1" t="s">
        <v>256</v>
      </c>
      <c r="Q1" t="s">
        <v>257</v>
      </c>
      <c r="R1" t="s">
        <v>258</v>
      </c>
      <c r="S1" t="s">
        <v>259</v>
      </c>
      <c r="T1" t="s">
        <v>260</v>
      </c>
    </row>
    <row r="2" spans="1:20" x14ac:dyDescent="0.25">
      <c r="A2" t="s">
        <v>261</v>
      </c>
      <c r="C2" t="b">
        <v>0</v>
      </c>
      <c r="E2" s="132" t="s">
        <v>262</v>
      </c>
      <c r="K2" s="133">
        <v>0.375</v>
      </c>
      <c r="L2" s="133">
        <v>0.75</v>
      </c>
      <c r="M2">
        <v>0</v>
      </c>
      <c r="N2">
        <v>1</v>
      </c>
      <c r="O2">
        <v>1</v>
      </c>
      <c r="P2">
        <v>1</v>
      </c>
      <c r="Q2">
        <v>1</v>
      </c>
      <c r="R2">
        <v>1</v>
      </c>
      <c r="S2">
        <v>0</v>
      </c>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nguyen tho thong</cp:lastModifiedBy>
  <cp:revision>0</cp:revision>
  <cp:lastPrinted>2021-08-08T06:33:54Z</cp:lastPrinted>
  <dcterms:created xsi:type="dcterms:W3CDTF">2016-09-10T13:03:48Z</dcterms:created>
  <dcterms:modified xsi:type="dcterms:W3CDTF">2022-04-06T08:18:18Z</dcterms:modified>
  <cp:category>Excel Template</cp:category>
  <cp:version>3.0</cp:version>
</cp:coreProperties>
</file>