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ExportToPDF.png" ContentType="image/.png"/>
  <Override PartName="/customUI/images/ScrolltoEnd.png" ContentType="image/.png"/>
  <Override PartName="/customUI/images/YearlyView.png" ContentType="image/.png"/>
  <Override PartName="/customUI/images/DailyView.png" ContentType="image/.png"/>
  <Override PartName="/customUI/images/SetupTimeline.png" ContentType="image/.png"/>
  <Override PartName="/customUI/images/AddTask64.png" ContentType="application/octet-stream"/>
  <Override PartName="/customUI/images/HalfYearlyView.png" ContentType="image/.png"/>
  <Override PartName="/customUI/images/AddSection64.png" ContentType="application/octet-stream"/>
  <Override PartName="/customUI/images/ExportToXLSX.png" ContentType="image/.png"/>
  <Override PartName="/customUI/images/QuarterlyView.png" ContentType="image/.png"/>
  <Override PartName="/customUI/images/MonthlyView.png" ContentType="image/.png"/>
  <Override PartName="/customUI/images/HourlyView.png" ContentType="image/.png"/>
  <Override PartName="/customUI/images/AddMilestone.png" ContentType="image/.png"/>
  <Override PartName="/customUI/images/WeeklyView.png" ContentType="image/.png"/>
  <Override PartName="/customUI/images/deleteTask64.png" ContentType="application/octet-stream"/>
  <Override PartName="/customUI/images/ScrolltoStart.png" ContentType="image/.png"/>
  <Override PartName="/customUI/images/ScrolltoToday.png" ContentType="image/.png"/>
  <Override PartName="/customUI/images/moreviews.png" ContentType="image/.png"/>
  <Override PartName="/customUI/images/EditTask64.png" ContentType="application/octet-stream"/>
  <Override PartName="/customUI/images/AddGanttChart64.png" ContentType="application/octet-stream"/>
</Types>
</file>

<file path=_rels/.rels><?xml version="1.0" encoding="UTF-8" standalone="yes"?>
<Relationships xmlns="http://schemas.openxmlformats.org/package/2006/relationships"><Relationship Id="R7f19f805bfb641b9"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autoCompressPictures="0"/>
  <mc:AlternateContent xmlns:mc="http://schemas.openxmlformats.org/markup-compatibility/2006">
    <mc:Choice Requires="x15">
      <x15ac:absPath xmlns:x15ac="http://schemas.microsoft.com/office/spreadsheetml/2010/11/ac" url="C:\Users\nguye\Desktop\phattrienduanphanmem\documents\Project Planning\"/>
    </mc:Choice>
  </mc:AlternateContent>
  <bookViews>
    <workbookView xWindow="28425" yWindow="0" windowWidth="28800" windowHeight="31950" tabRatio="913" firstSheet="4" activeTab="4"/>
  </bookViews>
  <sheets>
    <sheet name="Dashboard Data" sheetId="75" state="veryHidden" r:id="rId1"/>
    <sheet name="GanttSettingsTemplate" sheetId="50" state="veryHidden" r:id="rId2"/>
    <sheet name="GanttDashboardTemplate" sheetId="3" state="veryHidden" r:id="rId3"/>
    <sheet name="PivotSheet" sheetId="89" state="veryHidden" r:id="rId4"/>
    <sheet name="Project Plan" sheetId="92" r:id="rId5"/>
    <sheet name="Help" sheetId="7" r:id="rId6"/>
    <sheet name="GS1" sheetId="91" state="veryHidden" r:id="rId7"/>
    <sheet name="RS1" sheetId="90" state="veryHidden" r:id="rId8"/>
  </sheets>
  <functionGroups builtInGroupCount="18"/>
  <definedNames>
    <definedName name="NativeTimeline_EED">#N/A</definedName>
    <definedName name="_xlnm.Print_Area" localSheetId="2">GanttDashboardTemplate!$B$1:$G$44</definedName>
    <definedName name="_xlnm.Print_Titles" localSheetId="2">GanttDashboardTemplate!$2:$2</definedName>
    <definedName name="Slicer_Priority">#N/A</definedName>
    <definedName name="Slicer_Resource">#N/A</definedName>
    <definedName name="Slicer_Status">#N/A</definedName>
    <definedName name="VGD">#REF!</definedName>
  </definedNames>
  <calcPr calcId="162913"/>
  <pivotCaches>
    <pivotCache cacheId="0"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G2" i="75" l="1"/>
  <c r="BG3" i="75"/>
  <c r="BG4" i="75"/>
  <c r="BG5" i="75"/>
  <c r="E5" i="3" l="1"/>
  <c r="AT2" i="3"/>
  <c r="AS2" i="3"/>
  <c r="AZ2" i="3" l="1"/>
  <c r="BA2" i="3" s="1"/>
  <c r="D18" i="3" s="1"/>
  <c r="AX2" i="3"/>
  <c r="AY2" i="3" s="1"/>
  <c r="AV2" i="3" l="1"/>
  <c r="E4" i="3" s="1"/>
  <c r="E13" i="3"/>
  <c r="E12" i="3"/>
  <c r="E11" i="3"/>
  <c r="E10" i="3"/>
  <c r="E9" i="3"/>
  <c r="E7" i="3"/>
  <c r="E6" i="3"/>
</calcChain>
</file>

<file path=xl/sharedStrings.xml><?xml version="1.0" encoding="utf-8"?>
<sst xmlns="http://schemas.openxmlformats.org/spreadsheetml/2006/main" count="893" uniqueCount="324">
  <si>
    <t>CLICK HERE FOR DOCUMENTATION</t>
  </si>
  <si>
    <t>QUICK GUIDE</t>
  </si>
  <si>
    <t xml:space="preserve"> </t>
  </si>
  <si>
    <t>Total Tasks</t>
  </si>
  <si>
    <t>BaselineBudget</t>
  </si>
  <si>
    <t>End Date</t>
  </si>
  <si>
    <t>EstimatedBudget</t>
  </si>
  <si>
    <t>Start Date</t>
  </si>
  <si>
    <t>$</t>
  </si>
  <si>
    <t>Lead</t>
  </si>
  <si>
    <t>Project Status</t>
  </si>
  <si>
    <t>PROJECT SUMMARY</t>
  </si>
  <si>
    <t>Notes</t>
  </si>
  <si>
    <t>ACS</t>
  </si>
  <si>
    <t>ECS</t>
  </si>
  <si>
    <t>BCS</t>
  </si>
  <si>
    <t>AD</t>
  </si>
  <si>
    <t>PercentageCompleted</t>
  </si>
  <si>
    <t>ED</t>
  </si>
  <si>
    <t>AED</t>
  </si>
  <si>
    <t>EED</t>
  </si>
  <si>
    <t>ASD</t>
  </si>
  <si>
    <t>ESD</t>
  </si>
  <si>
    <t>BD</t>
  </si>
  <si>
    <t>BED</t>
  </si>
  <si>
    <t>BSD</t>
  </si>
  <si>
    <t>Task</t>
  </si>
  <si>
    <t>WBS</t>
  </si>
  <si>
    <t>DDD DD\-MMM\-YY</t>
  </si>
  <si>
    <t>D</t>
  </si>
  <si>
    <t>BarTextIsUnderline</t>
  </si>
  <si>
    <t>BarTextIsItalic</t>
  </si>
  <si>
    <t>BarTextIsBold</t>
  </si>
  <si>
    <t>BarTextDataColumnName</t>
  </si>
  <si>
    <t>BarTextFontSize</t>
  </si>
  <si>
    <t>BarTextCharacters</t>
  </si>
  <si>
    <t>EnableBarText</t>
  </si>
  <si>
    <t>vidud</t>
  </si>
  <si>
    <t>chirun</t>
  </si>
  <si>
    <t>peru</t>
  </si>
  <si>
    <t>ShowDependencyConnector</t>
  </si>
  <si>
    <t>ShowTodayLines</t>
  </si>
  <si>
    <t>DateFormat</t>
  </si>
  <si>
    <t>ShowGrouping</t>
  </si>
  <si>
    <t>LiType</t>
  </si>
  <si>
    <t>EC</t>
  </si>
  <si>
    <t>LV</t>
  </si>
  <si>
    <t>WeekStartDay</t>
  </si>
  <si>
    <t>ShowLate</t>
  </si>
  <si>
    <t>ShowPlanned</t>
  </si>
  <si>
    <t>ShowInProgress</t>
  </si>
  <si>
    <t>ShowCompleted</t>
  </si>
  <si>
    <t>CurrentView</t>
  </si>
  <si>
    <t>CurrencySymbol</t>
  </si>
  <si>
    <t>TotalACS</t>
  </si>
  <si>
    <t>ActualCosts</t>
  </si>
  <si>
    <t>Completed</t>
  </si>
  <si>
    <t>In-Progress</t>
  </si>
  <si>
    <t>Planned</t>
  </si>
  <si>
    <t>Overdue</t>
  </si>
  <si>
    <t>liky</t>
  </si>
  <si>
    <t>duli</t>
  </si>
  <si>
    <t>WeekNumType</t>
  </si>
  <si>
    <t>ISO</t>
  </si>
  <si>
    <t>ShowBaselineBar</t>
  </si>
  <si>
    <t>ShowActualBar</t>
  </si>
  <si>
    <t>PercentageEntryMode</t>
  </si>
  <si>
    <t>PercentageCalculationType</t>
  </si>
  <si>
    <t>manual</t>
  </si>
  <si>
    <t>simple</t>
  </si>
  <si>
    <t>Click here for help to Enable Macros</t>
  </si>
  <si>
    <t>ShowOverdueBar</t>
  </si>
  <si>
    <t>FiSa</t>
  </si>
  <si>
    <t>asdflkjl</t>
  </si>
  <si>
    <t>;J=,F\)-'+%tyzivm":YHs</t>
  </si>
  <si>
    <t>Dark</t>
  </si>
  <si>
    <t>Classic</t>
  </si>
  <si>
    <t>Blue</t>
  </si>
  <si>
    <t>Excel</t>
  </si>
  <si>
    <t>Custom</t>
  </si>
  <si>
    <t>Enable Macros</t>
  </si>
  <si>
    <t>ThemeName</t>
  </si>
  <si>
    <t>SelectedTheme</t>
  </si>
  <si>
    <t>EBC</t>
  </si>
  <si>
    <t>EMC</t>
  </si>
  <si>
    <t>BBC</t>
  </si>
  <si>
    <t>ABC</t>
  </si>
  <si>
    <t>OBC</t>
  </si>
  <si>
    <t>TLC</t>
  </si>
  <si>
    <t>TBC</t>
  </si>
  <si>
    <t>PBC</t>
  </si>
  <si>
    <t>HBC</t>
  </si>
  <si>
    <t>HC</t>
  </si>
  <si>
    <t>WC</t>
  </si>
  <si>
    <t>CR1C</t>
  </si>
  <si>
    <t>CR2C</t>
  </si>
  <si>
    <t>CR3C</t>
  </si>
  <si>
    <t>TGB</t>
  </si>
  <si>
    <t>DLC</t>
  </si>
  <si>
    <t>HCOL</t>
  </si>
  <si>
    <t>DCOL</t>
  </si>
  <si>
    <t>WCOL</t>
  </si>
  <si>
    <t>MCOL</t>
  </si>
  <si>
    <t>QCOL</t>
  </si>
  <si>
    <t>HYCOL</t>
  </si>
  <si>
    <t>YCOL</t>
  </si>
  <si>
    <t>HWID</t>
  </si>
  <si>
    <t>DWID</t>
  </si>
  <si>
    <t>WWID</t>
  </si>
  <si>
    <t>MWID</t>
  </si>
  <si>
    <t>QWID</t>
  </si>
  <si>
    <t>YWID</t>
  </si>
  <si>
    <t>HYWID</t>
  </si>
  <si>
    <t>ds082</t>
  </si>
  <si>
    <t>CR12C</t>
  </si>
  <si>
    <t>RCCal</t>
  </si>
  <si>
    <t>GBC</t>
  </si>
  <si>
    <t>PTRC</t>
  </si>
  <si>
    <t>TSD</t>
  </si>
  <si>
    <t>TED</t>
  </si>
  <si>
    <t>ShowTimelineGrid</t>
  </si>
  <si>
    <t>ShowHolidays</t>
  </si>
  <si>
    <t>ShowWeekends</t>
  </si>
  <si>
    <t>ShowHolidaysPR</t>
  </si>
  <si>
    <t>ShowWeekendsPR</t>
  </si>
  <si>
    <t>HCPR</t>
  </si>
  <si>
    <t>WCPR</t>
  </si>
  <si>
    <t>9</t>
  </si>
  <si>
    <t>RefreshTimeline</t>
  </si>
  <si>
    <t>resourcesettings</t>
  </si>
  <si>
    <t>CalcAED</t>
  </si>
  <si>
    <t>CalcBED</t>
  </si>
  <si>
    <t>GCTYPE</t>
  </si>
  <si>
    <t>GRT</t>
  </si>
  <si>
    <t>TimelineVisible</t>
  </si>
  <si>
    <t>ShowEstBaseBar</t>
  </si>
  <si>
    <t>EBaseC</t>
  </si>
  <si>
    <t>Priority</t>
  </si>
  <si>
    <t>Status</t>
  </si>
  <si>
    <t>TPCH</t>
  </si>
  <si>
    <t>TPCN</t>
  </si>
  <si>
    <t>TPCL</t>
  </si>
  <si>
    <t>TSCC</t>
  </si>
  <si>
    <t>TSCI</t>
  </si>
  <si>
    <t>TSCP</t>
  </si>
  <si>
    <t>ProjectName</t>
  </si>
  <si>
    <t>SSN</t>
  </si>
  <si>
    <t>PTDS</t>
  </si>
  <si>
    <t>ShowPercBar</t>
  </si>
  <si>
    <t>ShowPercDataBar</t>
  </si>
  <si>
    <t>PDC</t>
  </si>
  <si>
    <t>PRC</t>
  </si>
  <si>
    <t>ceDate</t>
  </si>
  <si>
    <t>csDate</t>
  </si>
  <si>
    <t>ceYear</t>
  </si>
  <si>
    <t>csYear</t>
  </si>
  <si>
    <t xml:space="preserve">For Windows Excel versions 2007 - 2019 + All versions of Microsoft 365 and MAC Excel Version 2016 - 2019  + All versions of Microsoft 365 </t>
  </si>
  <si>
    <r>
      <rPr>
        <sz val="28"/>
        <color rgb="FFFF0000"/>
        <rFont val="Calibri"/>
        <family val="2"/>
        <scheme val="minor"/>
      </rPr>
      <t>Gantt Excel</t>
    </r>
    <r>
      <rPr>
        <sz val="28"/>
        <color theme="1"/>
        <rFont val="Calibri"/>
        <family val="2"/>
        <scheme val="minor"/>
      </rPr>
      <t xml:space="preserve"> - </t>
    </r>
    <r>
      <rPr>
        <sz val="28"/>
        <color theme="9" tint="-0.249977111117893"/>
        <rFont val="Calibri"/>
        <family val="2"/>
        <scheme val="minor"/>
      </rPr>
      <t>Project Management in Excel</t>
    </r>
  </si>
  <si>
    <t>Use the Gantt Menu tab in the Excel Ribbon to Create, View and Edit Gantt Charts</t>
  </si>
  <si>
    <t>SavedDate</t>
  </si>
  <si>
    <t>TIL</t>
  </si>
  <si>
    <t>SS</t>
  </si>
  <si>
    <t>TColor</t>
  </si>
  <si>
    <t>TPColor</t>
  </si>
  <si>
    <t>BLColor</t>
  </si>
  <si>
    <t>ACColor</t>
  </si>
  <si>
    <t>LC</t>
  </si>
  <si>
    <t>T</t>
  </si>
  <si>
    <t>NORMAL</t>
  </si>
  <si>
    <t>u</t>
  </si>
  <si>
    <t>ProjectID</t>
  </si>
  <si>
    <t>dType</t>
  </si>
  <si>
    <t>Custom 1</t>
  </si>
  <si>
    <t>Custom 2</t>
  </si>
  <si>
    <t>Custom 3</t>
  </si>
  <si>
    <t>Custom 4</t>
  </si>
  <si>
    <t>Custom 5</t>
  </si>
  <si>
    <t>Custom 6</t>
  </si>
  <si>
    <t>Custom 7</t>
  </si>
  <si>
    <t>Custom 8</t>
  </si>
  <si>
    <t>Custom 9</t>
  </si>
  <si>
    <t>Custom 10</t>
  </si>
  <si>
    <t>Custom 11</t>
  </si>
  <si>
    <t>Custom 12</t>
  </si>
  <si>
    <t>Custom 13</t>
  </si>
  <si>
    <t>Custom 14</t>
  </si>
  <si>
    <t>Custom 15</t>
  </si>
  <si>
    <t>Custom 16</t>
  </si>
  <si>
    <t>Custom 17</t>
  </si>
  <si>
    <t>Custom 18</t>
  </si>
  <si>
    <t>Custom 19</t>
  </si>
  <si>
    <t>Custom 20</t>
  </si>
  <si>
    <t>Baseline Cost</t>
  </si>
  <si>
    <t>Actual Cost</t>
  </si>
  <si>
    <t>S</t>
  </si>
  <si>
    <t>Project Name - Click to Edit</t>
  </si>
  <si>
    <t>Project ID</t>
  </si>
  <si>
    <t>Project Worksheet</t>
  </si>
  <si>
    <t>Project Name</t>
  </si>
  <si>
    <t>Project Completion</t>
  </si>
  <si>
    <t>ESTIMATED</t>
  </si>
  <si>
    <t>BASELINE</t>
  </si>
  <si>
    <t>ACTUAL</t>
  </si>
  <si>
    <t>Currency</t>
  </si>
  <si>
    <t>Earliest Start Date</t>
  </si>
  <si>
    <t>Earliest End Date</t>
  </si>
  <si>
    <t>Completed Tasks</t>
  </si>
  <si>
    <t>In-Progress Tasks</t>
  </si>
  <si>
    <t>Planned Tasks</t>
  </si>
  <si>
    <t>Overdue Tasks</t>
  </si>
  <si>
    <t>Selected Project</t>
  </si>
  <si>
    <t>All Projects</t>
  </si>
  <si>
    <t>Project Plan</t>
  </si>
  <si>
    <t>Click to edit</t>
  </si>
  <si>
    <t>% Comp</t>
  </si>
  <si>
    <t>ProjectFilter</t>
  </si>
  <si>
    <t>Row Labels</t>
  </si>
  <si>
    <t>Count of tID</t>
  </si>
  <si>
    <t>Values</t>
  </si>
  <si>
    <t>(Multiple Items)</t>
  </si>
  <si>
    <t>Estimated Cost</t>
  </si>
  <si>
    <t>Remaining</t>
  </si>
  <si>
    <t>% Over Budget</t>
  </si>
  <si>
    <t>Work</t>
  </si>
  <si>
    <t>ESTIMATED BUDGET</t>
  </si>
  <si>
    <t>Resource</t>
  </si>
  <si>
    <t>TID</t>
  </si>
  <si>
    <t>Dependency</t>
  </si>
  <si>
    <t>Dependents</t>
  </si>
  <si>
    <t>StartConstrain</t>
  </si>
  <si>
    <t>EndConstrain</t>
  </si>
  <si>
    <t>TaskIcon</t>
  </si>
  <si>
    <t>ResourceCost</t>
  </si>
  <si>
    <t>Done</t>
  </si>
  <si>
    <t>GEType</t>
  </si>
  <si>
    <t>(blank)</t>
  </si>
  <si>
    <t>LOW</t>
  </si>
  <si>
    <t>HIGH</t>
  </si>
  <si>
    <t>Est Budget</t>
  </si>
  <si>
    <t>Act Costs</t>
  </si>
  <si>
    <t>20-Aug</t>
  </si>
  <si>
    <t>(All)</t>
  </si>
  <si>
    <t>5-Aug</t>
  </si>
  <si>
    <t>Type here or double click to edit in form</t>
  </si>
  <si>
    <t>InProgress</t>
  </si>
  <si>
    <t>T42VP</t>
  </si>
  <si>
    <t>TR8#{5QM</t>
  </si>
  <si>
    <t>N4fL3sgyYf-Gm2xds9E-6dG7b72mevs</t>
  </si>
  <si>
    <t>Cost</t>
  </si>
  <si>
    <t>Use Org Holidays</t>
  </si>
  <si>
    <t>Department</t>
  </si>
  <si>
    <t>Workhours Start</t>
  </si>
  <si>
    <t>Workhours End</t>
  </si>
  <si>
    <t>WorkdaySun</t>
  </si>
  <si>
    <t>WorkdayMon</t>
  </si>
  <si>
    <t>WorkdayTue</t>
  </si>
  <si>
    <t>WorkdayWed</t>
  </si>
  <si>
    <t>WorkdayThu</t>
  </si>
  <si>
    <t>WorkdayFri</t>
  </si>
  <si>
    <t>WorkdaySat</t>
  </si>
  <si>
    <t>Holidays</t>
  </si>
  <si>
    <t>Organization</t>
  </si>
  <si>
    <t>DO NOT MODIFY THIS SHEET OR INSERT COLUMNS</t>
  </si>
  <si>
    <t>System</t>
  </si>
  <si>
    <t>Baseline Start</t>
  </si>
  <si>
    <t>Baseline End</t>
  </si>
  <si>
    <t>Baseline Duration</t>
  </si>
  <si>
    <t>Start</t>
  </si>
  <si>
    <t>Finish</t>
  </si>
  <si>
    <t>Duration</t>
  </si>
  <si>
    <t>% Complete</t>
  </si>
  <si>
    <t>Actual Start</t>
  </si>
  <si>
    <t>Actual End</t>
  </si>
  <si>
    <t>Actual Duration</t>
  </si>
  <si>
    <t>Est. Cost</t>
  </si>
  <si>
    <t>Bar Color</t>
  </si>
  <si>
    <t>% Color</t>
  </si>
  <si>
    <t>Baseline Color</t>
  </si>
  <si>
    <t>Actual Color</t>
  </si>
  <si>
    <t>TimelineStart</t>
  </si>
  <si>
    <t>TimelineEnd</t>
  </si>
  <si>
    <t>RS1</t>
  </si>
  <si>
    <t>s0n84</t>
  </si>
  <si>
    <t>HH</t>
  </si>
  <si>
    <t>12 A</t>
  </si>
  <si>
    <t>01 A</t>
  </si>
  <si>
    <t>02 A</t>
  </si>
  <si>
    <t>03 A</t>
  </si>
  <si>
    <t>04 A</t>
  </si>
  <si>
    <t>05 A</t>
  </si>
  <si>
    <t>06 A</t>
  </si>
  <si>
    <t>07 A</t>
  </si>
  <si>
    <t>08 A</t>
  </si>
  <si>
    <t>09 A</t>
  </si>
  <si>
    <t>10 A</t>
  </si>
  <si>
    <t>11 A</t>
  </si>
  <si>
    <t>12 P</t>
  </si>
  <si>
    <t>01 P</t>
  </si>
  <si>
    <t>02 P</t>
  </si>
  <si>
    <t>03 P</t>
  </si>
  <si>
    <t>04 P</t>
  </si>
  <si>
    <t>05 P</t>
  </si>
  <si>
    <t>06 P</t>
  </si>
  <si>
    <t>07 P</t>
  </si>
  <si>
    <t>08 P</t>
  </si>
  <si>
    <t>09 P</t>
  </si>
  <si>
    <t>10 P</t>
  </si>
  <si>
    <t>11 P</t>
  </si>
  <si>
    <t>Type here to add a new task</t>
  </si>
  <si>
    <t>Project Lead: Click to edit</t>
  </si>
  <si>
    <r>
      <t>Project Budget</t>
    </r>
    <r>
      <rPr>
        <sz val="10"/>
        <color rgb="FF808080"/>
        <rFont val="Calibri"/>
        <family val="2"/>
        <scheme val="minor"/>
      </rPr>
      <t xml:space="preserve">: Estimated: $0.00 | Baseline: $0.00 | </t>
    </r>
    <r>
      <rPr>
        <b/>
        <sz val="10"/>
        <color rgb="FF808080"/>
        <rFont val="Calibri"/>
        <family val="2"/>
        <scheme val="minor"/>
      </rPr>
      <t>Task Costs</t>
    </r>
    <r>
      <rPr>
        <sz val="10"/>
        <color rgb="FF808080"/>
        <rFont val="Calibri"/>
        <family val="2"/>
        <scheme val="minor"/>
      </rPr>
      <t>: Estimated: $0.00 | Baseline: $0.00 | Actual: $0.00</t>
    </r>
  </si>
  <si>
    <t>thong</t>
  </si>
  <si>
    <t>9031419786979019629490109259235292593497</t>
  </si>
  <si>
    <t>Quick Start Guide</t>
  </si>
  <si>
    <t>Mon - 18-Apr-22</t>
  </si>
  <si>
    <t>Tue - 19-Apr-22</t>
  </si>
  <si>
    <t>Wed - 20-Apr-22</t>
  </si>
  <si>
    <t>Thu - 21-Apr-22</t>
  </si>
  <si>
    <t>Fri - 22-Apr-22</t>
  </si>
  <si>
    <t>Sat - 23-Apr-22</t>
  </si>
  <si>
    <t>Sun - 24-Apr-22</t>
  </si>
  <si>
    <t>Mon - 25-Apr-22</t>
  </si>
  <si>
    <t>Tue - 26-Apr-22</t>
  </si>
  <si>
    <t>Wed - 27-Apr-22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</si>
</sst>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 #,##0"/>
    <numFmt numFmtId="165" formatCode="ddd\ dd\-mmm\-yy\ hh:mm\ AM/PM"/>
    <numFmt numFmtId="166" formatCode="[$$-409]#,##0.00"/>
  </numFmts>
  <fonts count="43" x14ac:knownFonts="1">
    <font>
      <sz val="11"/>
      <color theme="1"/>
      <name val="Calibri"/>
      <family val="2"/>
      <scheme val="minor"/>
    </font>
    <font>
      <b/>
      <sz val="15"/>
      <color theme="3"/>
      <name val="Calibri"/>
      <family val="2"/>
      <scheme val="minor"/>
    </font>
    <font>
      <u/>
      <sz val="11"/>
      <color theme="10"/>
      <name val="Calibri"/>
      <family val="2"/>
      <scheme val="minor"/>
    </font>
    <font>
      <u/>
      <sz val="10"/>
      <color theme="10"/>
      <name val="Calibri"/>
      <family val="2"/>
      <scheme val="minor"/>
    </font>
    <font>
      <b/>
      <sz val="24"/>
      <color rgb="FF00B0F0"/>
      <name val="Calibri"/>
      <family val="2"/>
      <scheme val="minor"/>
    </font>
    <font>
      <sz val="8"/>
      <color theme="0"/>
      <name val="Calibri"/>
      <family val="2"/>
      <scheme val="minor"/>
    </font>
    <font>
      <sz val="10"/>
      <color theme="0"/>
      <name val="Calibri"/>
      <family val="2"/>
      <scheme val="minor"/>
    </font>
    <font>
      <sz val="10"/>
      <color theme="1"/>
      <name val="Calibri"/>
      <family val="2"/>
      <scheme val="minor"/>
    </font>
    <font>
      <sz val="10"/>
      <color rgb="FFFF0000"/>
      <name val="Calibri"/>
      <family val="2"/>
      <scheme val="minor"/>
    </font>
    <font>
      <sz val="10"/>
      <name val="Calibri"/>
      <family val="2"/>
      <scheme val="minor"/>
    </font>
    <font>
      <b/>
      <sz val="7"/>
      <color rgb="FF00B0F0"/>
      <name val="Calibri"/>
      <family val="2"/>
      <scheme val="minor"/>
    </font>
    <font>
      <b/>
      <sz val="10"/>
      <color theme="1"/>
      <name val="Calibri"/>
      <family val="2"/>
      <scheme val="minor"/>
    </font>
    <font>
      <b/>
      <sz val="11"/>
      <color rgb="FF00B0F0"/>
      <name val="Calibri"/>
      <family val="2"/>
      <scheme val="minor"/>
    </font>
    <font>
      <u/>
      <sz val="11"/>
      <color theme="11"/>
      <name val="Calibri"/>
      <family val="2"/>
      <scheme val="minor"/>
    </font>
    <font>
      <i/>
      <sz val="11"/>
      <color theme="1"/>
      <name val="Calibri"/>
      <family val="2"/>
      <scheme val="minor"/>
    </font>
    <font>
      <b/>
      <sz val="10"/>
      <color theme="4" tint="-0.499984740745262"/>
      <name val="Calibri"/>
      <family val="2"/>
      <scheme val="minor"/>
    </font>
    <font>
      <b/>
      <sz val="14"/>
      <color rgb="FFFF0000"/>
      <name val="Calibri"/>
      <family val="2"/>
      <scheme val="minor"/>
    </font>
    <font>
      <sz val="9"/>
      <color theme="1"/>
      <name val="Calibri"/>
      <family val="2"/>
      <scheme val="minor"/>
    </font>
    <font>
      <sz val="11"/>
      <color rgb="FFFF0000"/>
      <name val="Calibri"/>
      <family val="2"/>
      <scheme val="minor"/>
    </font>
    <font>
      <sz val="11"/>
      <color rgb="FF000000"/>
      <name val="Calibri"/>
      <family val="2"/>
    </font>
    <font>
      <sz val="26"/>
      <color rgb="FF00B0F0"/>
      <name val="Calibri"/>
      <family val="2"/>
      <scheme val="minor"/>
    </font>
    <font>
      <sz val="28"/>
      <color theme="1"/>
      <name val="Calibri"/>
      <family val="2"/>
      <scheme val="minor"/>
    </font>
    <font>
      <sz val="28"/>
      <color rgb="FFFF0000"/>
      <name val="Calibri"/>
      <family val="2"/>
      <scheme val="minor"/>
    </font>
    <font>
      <sz val="28"/>
      <color theme="9" tint="-0.249977111117893"/>
      <name val="Calibri"/>
      <family val="2"/>
      <scheme val="minor"/>
    </font>
    <font>
      <sz val="8"/>
      <name val="Calibri"/>
      <family val="2"/>
      <scheme val="minor"/>
    </font>
    <font>
      <b/>
      <sz val="12"/>
      <color rgb="FF00B0F0"/>
      <name val="Calibri"/>
      <family val="2"/>
      <scheme val="minor"/>
    </font>
    <font>
      <sz val="11"/>
      <color theme="1"/>
      <name val="Calibri"/>
      <family val="2"/>
      <scheme val="minor"/>
    </font>
    <font>
      <sz val="11"/>
      <color theme="8"/>
      <name val="Calibri"/>
      <family val="2"/>
      <scheme val="minor"/>
    </font>
    <font>
      <sz val="11"/>
      <color theme="0"/>
      <name val="Calibri"/>
      <family val="2"/>
      <scheme val="minor"/>
    </font>
    <font>
      <sz val="9"/>
      <color theme="1"/>
      <name val="Verdana"/>
      <family val="2"/>
    </font>
    <font>
      <sz val="10"/>
      <name val="Arial"/>
      <family val="2"/>
    </font>
    <font>
      <sz val="11"/>
      <color rgb="FF000000"/>
      <name val="Calibri"/>
      <family val="2"/>
      <scheme val="minor"/>
    </font>
    <font>
      <sz val="10"/>
      <color rgb="FF000000"/>
      <name val="Calibri"/>
      <family val="2"/>
      <scheme val="minor"/>
    </font>
    <font>
      <b/>
      <sz val="9"/>
      <color rgb="FF000000"/>
      <name val="Calibri"/>
      <family val="2"/>
      <scheme val="minor"/>
    </font>
    <font>
      <sz val="10"/>
      <color rgb="FF808080"/>
      <name val="Calibri"/>
      <family val="2"/>
      <scheme val="minor"/>
    </font>
    <font>
      <sz val="11"/>
      <color rgb="FF4472C4"/>
      <name val="Calibri"/>
      <family val="2"/>
      <scheme val="minor"/>
    </font>
    <font>
      <sz val="8"/>
      <color rgb="FF000000"/>
      <name val="Calibri"/>
      <family val="2"/>
      <scheme val="minor"/>
    </font>
    <font>
      <sz val="8"/>
      <color rgb="FF000000"/>
      <name val="Arial"/>
      <family val="2"/>
    </font>
    <font>
      <b/>
      <sz val="10"/>
      <color rgb="FFFFFFFF"/>
      <name val="Calibri"/>
      <family val="2"/>
      <scheme val="minor"/>
    </font>
    <font>
      <i/>
      <sz val="10"/>
      <color rgb="FF000000"/>
      <name val="Calibri"/>
      <family val="2"/>
      <scheme val="minor"/>
    </font>
    <font>
      <b/>
      <sz val="16"/>
      <color rgb="FFFFFFFF"/>
      <name val="Calibri"/>
      <family val="2"/>
      <scheme val="minor"/>
    </font>
    <font>
      <sz val="10"/>
      <color rgb="FFA8E7FE"/>
      <name val="Wingdings 3"/>
      <family val="1"/>
      <charset val="2"/>
    </font>
    <font>
      <b/>
      <sz val="10"/>
      <color rgb="FF808080"/>
      <name val="Calibri"/>
      <family val="2"/>
      <scheme val="minor"/>
    </font>
  </fonts>
  <fills count="51">
    <fill>
      <patternFill patternType="none"/>
    </fill>
    <fill>
      <patternFill patternType="gray125"/>
    </fill>
    <fill>
      <patternFill patternType="solid">
        <fgColor rgb="FF00B0F0"/>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59999389629810485"/>
        <bgColor indexed="64"/>
      </patternFill>
    </fill>
    <fill>
      <patternFill patternType="solid">
        <fgColor rgb="FFD0F789"/>
        <bgColor indexed="64"/>
      </patternFill>
    </fill>
    <fill>
      <patternFill patternType="solid">
        <fgColor rgb="FFA6F020"/>
        <bgColor indexed="64"/>
      </patternFill>
    </fill>
    <fill>
      <patternFill patternType="solid">
        <fgColor theme="2" tint="-0.249977111117893"/>
        <bgColor indexed="64"/>
      </patternFill>
    </fill>
    <fill>
      <patternFill patternType="solid">
        <fgColor rgb="FFFFE699"/>
        <bgColor indexed="64"/>
      </patternFill>
    </fill>
    <fill>
      <patternFill patternType="solid">
        <fgColor theme="1"/>
        <bgColor indexed="64"/>
      </patternFill>
    </fill>
    <fill>
      <patternFill patternType="solid">
        <fgColor rgb="FFFF000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rgb="FFCCFFFF"/>
        <bgColor indexed="64"/>
      </patternFill>
    </fill>
    <fill>
      <patternFill patternType="solid">
        <fgColor theme="7"/>
        <bgColor indexed="64"/>
      </patternFill>
    </fill>
    <fill>
      <patternFill patternType="solid">
        <fgColor theme="9"/>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1" tint="0.249977111117893"/>
        <bgColor indexed="64"/>
      </patternFill>
    </fill>
    <fill>
      <patternFill patternType="solid">
        <fgColor theme="1" tint="0.14999847407452621"/>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rgb="FFE5FBBD"/>
        <bgColor indexed="64"/>
      </patternFill>
    </fill>
    <fill>
      <patternFill patternType="solid">
        <fgColor rgb="FF6DD9FF"/>
        <bgColor indexed="64"/>
      </patternFill>
    </fill>
    <fill>
      <patternFill patternType="solid">
        <fgColor rgb="FFA8E7FE"/>
        <bgColor indexed="64"/>
      </patternFill>
    </fill>
    <fill>
      <patternFill patternType="solid">
        <fgColor rgb="FFFFFFFF"/>
        <bgColor indexed="64"/>
      </patternFill>
    </fill>
    <fill>
      <patternFill patternType="solid">
        <fgColor rgb="FF000000"/>
        <bgColor indexed="64"/>
      </patternFill>
    </fill>
    <fill>
      <patternFill patternType="solid">
        <fgColor rgb="FF262626"/>
        <bgColor indexed="64"/>
      </patternFill>
    </fill>
    <fill>
      <patternFill patternType="solid">
        <fgColor rgb="FFCCECFF"/>
        <bgColor indexed="64"/>
      </patternFill>
    </fill>
    <fill>
      <patternFill patternType="solid">
        <fgColor rgb="FFC1EFFF"/>
        <bgColor indexed="64"/>
      </patternFill>
    </fill>
    <fill>
      <patternFill patternType="solid">
        <fgColor rgb="FFF0F9FE"/>
        <bgColor indexed="64"/>
      </patternFill>
    </fill>
    <fill>
      <patternFill patternType="solid">
        <fgColor rgb="FFF0FFDD"/>
        <bgColor indexed="64"/>
      </patternFill>
    </fill>
    <fill>
      <patternFill patternType="solid">
        <fgColor rgb="FFDCF9A9"/>
        <bgColor indexed="64"/>
      </patternFill>
    </fill>
    <fill>
      <patternFill patternType="solid">
        <fgColor rgb="FF33CCFF"/>
        <bgColor indexed="64"/>
      </patternFill>
    </fill>
    <fill>
      <patternFill patternType="solid">
        <fgColor rgb="FF3399FF"/>
        <bgColor indexed="64"/>
      </patternFill>
    </fill>
    <fill>
      <patternFill patternType="solid">
        <fgColor rgb="FFFFCC00"/>
        <bgColor indexed="64"/>
      </patternFill>
    </fill>
    <fill>
      <patternFill patternType="solid">
        <fgColor rgb="FFFFCC66"/>
        <bgColor indexed="64"/>
      </patternFill>
    </fill>
    <fill>
      <patternFill patternType="solid">
        <fgColor rgb="FFEAEAEA"/>
        <bgColor indexed="64"/>
      </patternFill>
    </fill>
    <fill>
      <patternFill patternType="solid">
        <fgColor rgb="FF99CCFF"/>
        <bgColor indexed="64"/>
      </patternFill>
    </fill>
    <fill>
      <patternFill patternType="solid">
        <fgColor rgb="FFFF9900"/>
        <bgColor indexed="64"/>
      </patternFill>
    </fill>
    <fill>
      <patternFill patternType="solid">
        <fgColor rgb="FF00CC00"/>
        <bgColor indexed="64"/>
      </patternFill>
    </fill>
    <fill>
      <patternFill patternType="solid">
        <fgColor rgb="FF00DA00"/>
        <bgColor indexed="64"/>
      </patternFill>
    </fill>
    <fill>
      <patternFill patternType="solid">
        <fgColor rgb="FF4472C4"/>
        <bgColor indexed="64"/>
      </patternFill>
    </fill>
    <fill>
      <patternFill patternType="solid">
        <fgColor rgb="FFA7E8FF"/>
        <bgColor indexed="64"/>
      </patternFill>
    </fill>
    <fill>
      <patternFill patternType="solid">
        <fgColor theme="8"/>
        <bgColor indexed="64"/>
      </patternFill>
    </fill>
  </fills>
  <borders count="14">
    <border>
      <left/>
      <right/>
      <top/>
      <bottom/>
      <diagonal/>
    </border>
    <border>
      <left/>
      <right/>
      <top/>
      <bottom style="thick">
        <color theme="4"/>
      </bottom>
      <diagonal/>
    </border>
    <border>
      <left/>
      <right/>
      <top style="thick">
        <color theme="4"/>
      </top>
      <bottom/>
      <diagonal/>
    </border>
    <border>
      <left style="thin">
        <color rgb="FF00B0F0"/>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CCFFFF"/>
      </left>
      <right/>
      <top/>
      <bottom/>
      <diagonal/>
    </border>
    <border>
      <left/>
      <right/>
      <top style="thin">
        <color rgb="FFCCFFFF"/>
      </top>
      <bottom style="thin">
        <color rgb="FFCCFFFF"/>
      </bottom>
      <diagonal/>
    </border>
    <border>
      <left/>
      <right style="thin">
        <color rgb="FFCCFFFF"/>
      </right>
      <top style="thin">
        <color rgb="FFCCFFFF"/>
      </top>
      <bottom style="thin">
        <color rgb="FFCCFFFF"/>
      </bottom>
      <diagonal/>
    </border>
    <border>
      <left style="thin">
        <color rgb="FFCCFFFF"/>
      </left>
      <right style="thin">
        <color rgb="FFCCFFFF"/>
      </right>
      <top style="thin">
        <color rgb="FFCCFFFF"/>
      </top>
      <bottom style="thin">
        <color rgb="FFCCFFFF"/>
      </bottom>
      <diagonal/>
    </border>
    <border>
      <left/>
      <right/>
      <top style="thin">
        <color rgb="FFCCFFFF"/>
      </top>
      <bottom/>
      <diagonal/>
    </border>
    <border>
      <left/>
      <right/>
      <top/>
      <bottom style="thin">
        <color rgb="FFCCFFFF"/>
      </bottom>
      <diagonal/>
    </border>
    <border>
      <left/>
      <right style="thin">
        <color rgb="FFCCFFFF"/>
      </right>
      <top/>
      <bottom style="thin">
        <color rgb="FFCCFFFF"/>
      </bottom>
      <diagonal/>
    </border>
    <border>
      <left style="thin">
        <color rgb="FFCCFFFF"/>
      </left>
      <right style="thin">
        <color rgb="FFCCFFFF"/>
      </right>
      <top/>
      <bottom style="thin">
        <color rgb="FFCCFFFF"/>
      </bottom>
      <diagonal/>
    </border>
    <border>
      <left/>
      <right/>
      <top style="thin">
        <color rgb="FFCCFFFF"/>
      </top>
      <bottom style="thin">
        <color rgb="FFFF0000"/>
      </bottom>
      <diagonal/>
    </border>
  </borders>
  <cellStyleXfs count="203">
    <xf numFmtId="0" fontId="0" fillId="0" borderId="0"/>
    <xf numFmtId="0" fontId="1" fillId="0" borderId="1" applyNumberFormat="0" applyFill="0" applyAlignment="0" applyProtection="0"/>
    <xf numFmtId="0" fontId="2"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9" fontId="26" fillId="0" borderId="0" applyFont="0" applyFill="0" applyBorder="0" applyAlignment="0" applyProtection="0"/>
    <xf numFmtId="0" fontId="30" fillId="0" borderId="0"/>
    <xf numFmtId="0" fontId="2" fillId="0" borderId="0" applyNumberFormat="0" applyFill="0" applyBorder="0" applyAlignment="0" applyProtection="0"/>
  </cellStyleXfs>
  <cellXfs count="205">
    <xf numFmtId="0" fontId="0" fillId="0" borderId="0" xfId="0"/>
    <xf numFmtId="0" fontId="0" fillId="4" borderId="0" xfId="0" applyFill="1"/>
    <xf numFmtId="0" fontId="0" fillId="0" borderId="0" xfId="0" applyProtection="1">
      <protection locked="0"/>
    </xf>
    <xf numFmtId="3" fontId="8" fillId="0" borderId="0" xfId="0" applyNumberFormat="1" applyFont="1"/>
    <xf numFmtId="3" fontId="7" fillId="0" borderId="0" xfId="0" applyNumberFormat="1" applyFont="1"/>
    <xf numFmtId="15" fontId="7" fillId="0" borderId="0" xfId="0" applyNumberFormat="1" applyFont="1"/>
    <xf numFmtId="0" fontId="7" fillId="0" borderId="0" xfId="0" applyFont="1" applyAlignment="1">
      <alignment horizontal="right"/>
    </xf>
    <xf numFmtId="0" fontId="0" fillId="4" borderId="0" xfId="0" applyFill="1" applyProtection="1">
      <protection locked="0"/>
    </xf>
    <xf numFmtId="0" fontId="12" fillId="0" borderId="0" xfId="0" applyFont="1" applyAlignment="1">
      <alignment horizontal="left" vertical="center"/>
    </xf>
    <xf numFmtId="0" fontId="0" fillId="0" borderId="0" xfId="0" applyBorder="1"/>
    <xf numFmtId="0" fontId="0" fillId="0" borderId="0" xfId="0" applyBorder="1"/>
    <xf numFmtId="0" fontId="17" fillId="0" borderId="0" xfId="0" applyFont="1" applyBorder="1"/>
    <xf numFmtId="0" fontId="0" fillId="0" borderId="0" xfId="0" applyFill="1" applyBorder="1"/>
    <xf numFmtId="0" fontId="0" fillId="0" borderId="0" xfId="0" applyBorder="1" applyProtection="1">
      <protection locked="0"/>
    </xf>
    <xf numFmtId="4" fontId="0" fillId="0" borderId="0" xfId="0" applyNumberFormat="1" applyBorder="1" applyProtection="1">
      <protection locked="0"/>
    </xf>
    <xf numFmtId="14" fontId="0" fillId="0" borderId="0" xfId="0" applyNumberFormat="1" applyBorder="1" applyProtection="1">
      <protection locked="0"/>
    </xf>
    <xf numFmtId="0" fontId="0" fillId="30" borderId="0" xfId="0" applyFill="1" applyBorder="1"/>
    <xf numFmtId="0" fontId="0" fillId="29" borderId="0" xfId="0" applyFill="1" applyBorder="1"/>
    <xf numFmtId="0" fontId="0" fillId="9" borderId="0" xfId="0" applyFill="1" applyBorder="1"/>
    <xf numFmtId="0" fontId="0" fillId="2" borderId="0" xfId="0" applyFill="1" applyBorder="1"/>
    <xf numFmtId="0" fontId="0" fillId="11" borderId="0" xfId="0" applyFill="1" applyBorder="1"/>
    <xf numFmtId="0" fontId="0" fillId="32" borderId="0" xfId="0" applyFill="1" applyBorder="1"/>
    <xf numFmtId="0" fontId="0" fillId="15" borderId="0" xfId="0" applyFill="1" applyBorder="1"/>
    <xf numFmtId="0" fontId="0" fillId="6" borderId="0" xfId="0" applyFill="1" applyBorder="1"/>
    <xf numFmtId="0" fontId="0" fillId="28" borderId="0" xfId="0" applyFill="1" applyBorder="1"/>
    <xf numFmtId="0" fontId="0" fillId="31" borderId="0" xfId="0" applyFill="1" applyBorder="1"/>
    <xf numFmtId="0" fontId="0" fillId="33" borderId="0" xfId="0" applyFill="1" applyBorder="1"/>
    <xf numFmtId="1" fontId="0" fillId="0" borderId="0" xfId="0" applyNumberFormat="1" applyBorder="1"/>
    <xf numFmtId="0" fontId="0" fillId="16" borderId="0" xfId="0" applyFill="1" applyBorder="1"/>
    <xf numFmtId="0" fontId="0" fillId="10" borderId="0" xfId="0" applyFill="1" applyBorder="1"/>
    <xf numFmtId="0" fontId="0" fillId="12" borderId="0" xfId="0" applyFill="1" applyBorder="1"/>
    <xf numFmtId="0" fontId="0" fillId="5" borderId="0" xfId="0" applyFill="1" applyBorder="1"/>
    <xf numFmtId="0" fontId="0" fillId="27" borderId="0" xfId="0" applyFill="1" applyBorder="1"/>
    <xf numFmtId="0" fontId="0" fillId="4" borderId="0" xfId="0" applyFill="1" applyBorder="1"/>
    <xf numFmtId="0" fontId="0" fillId="25" borderId="0" xfId="0" applyFill="1" applyBorder="1"/>
    <xf numFmtId="0" fontId="0" fillId="7" borderId="0" xfId="0" applyFill="1" applyBorder="1"/>
    <xf numFmtId="0" fontId="0" fillId="17" borderId="0" xfId="0" applyFill="1" applyBorder="1"/>
    <xf numFmtId="0" fontId="0" fillId="18" borderId="0" xfId="0" applyFill="1" applyBorder="1"/>
    <xf numFmtId="0" fontId="0" fillId="14" borderId="0" xfId="0" applyFill="1" applyBorder="1"/>
    <xf numFmtId="0" fontId="0" fillId="23" borderId="0" xfId="0" applyFill="1" applyBorder="1"/>
    <xf numFmtId="0" fontId="0" fillId="22" borderId="0" xfId="0" applyFill="1" applyBorder="1"/>
    <xf numFmtId="0" fontId="0" fillId="13" borderId="0" xfId="0" applyFill="1" applyBorder="1"/>
    <xf numFmtId="0" fontId="0" fillId="26" borderId="0" xfId="0" applyFill="1" applyBorder="1"/>
    <xf numFmtId="0" fontId="0" fillId="20" borderId="0" xfId="0" applyFill="1" applyBorder="1"/>
    <xf numFmtId="0" fontId="0" fillId="19" borderId="0" xfId="0" applyFill="1" applyBorder="1"/>
    <xf numFmtId="0" fontId="0" fillId="24" borderId="0" xfId="0" applyFill="1" applyBorder="1"/>
    <xf numFmtId="0" fontId="0" fillId="8" borderId="0" xfId="0" applyFill="1" applyBorder="1"/>
    <xf numFmtId="0" fontId="0" fillId="21" borderId="0" xfId="0" applyFill="1" applyBorder="1"/>
    <xf numFmtId="0" fontId="0" fillId="0" borderId="0" xfId="0" applyFill="1" applyBorder="1" applyProtection="1">
      <protection locked="0"/>
    </xf>
    <xf numFmtId="49" fontId="0" fillId="0" borderId="0" xfId="0" applyNumberFormat="1" applyFill="1" applyBorder="1"/>
    <xf numFmtId="14" fontId="0" fillId="0" borderId="0" xfId="0" applyNumberFormat="1" applyFill="1" applyBorder="1" applyProtection="1">
      <protection locked="0"/>
    </xf>
    <xf numFmtId="0" fontId="0" fillId="0" borderId="0" xfId="0" applyNumberFormat="1" applyFill="1" applyBorder="1"/>
    <xf numFmtId="0" fontId="0" fillId="0" borderId="0" xfId="0"/>
    <xf numFmtId="0" fontId="0" fillId="34" borderId="0" xfId="0" applyFill="1" applyBorder="1"/>
    <xf numFmtId="0" fontId="0" fillId="35" borderId="0" xfId="0" applyFill="1" applyBorder="1"/>
    <xf numFmtId="0" fontId="0" fillId="3" borderId="0" xfId="0" applyFill="1" applyBorder="1"/>
    <xf numFmtId="0" fontId="0" fillId="0" borderId="0" xfId="0"/>
    <xf numFmtId="0" fontId="0" fillId="0" borderId="0" xfId="0"/>
    <xf numFmtId="0" fontId="0" fillId="36" borderId="0" xfId="0" applyFill="1" applyBorder="1"/>
    <xf numFmtId="0" fontId="0" fillId="37" borderId="0" xfId="0" applyFill="1" applyBorder="1"/>
    <xf numFmtId="0" fontId="0" fillId="0" borderId="0" xfId="0"/>
    <xf numFmtId="0" fontId="0" fillId="38" borderId="0" xfId="0" applyFill="1" applyBorder="1"/>
    <xf numFmtId="0" fontId="0" fillId="0" borderId="0" xfId="0"/>
    <xf numFmtId="0" fontId="0" fillId="0" borderId="0" xfId="0"/>
    <xf numFmtId="0" fontId="6" fillId="4" borderId="0" xfId="0" applyFont="1" applyFill="1" applyBorder="1"/>
    <xf numFmtId="0" fontId="5" fillId="4" borderId="0" xfId="0" applyFont="1" applyFill="1" applyBorder="1"/>
    <xf numFmtId="49" fontId="0" fillId="0" borderId="0" xfId="0" applyNumberFormat="1" applyBorder="1"/>
    <xf numFmtId="0" fontId="4" fillId="4" borderId="0" xfId="0" applyFont="1" applyFill="1" applyBorder="1" applyAlignment="1">
      <alignment horizontal="left" vertical="center" indent="5"/>
    </xf>
    <xf numFmtId="0" fontId="3" fillId="4" borderId="0" xfId="0" applyFont="1" applyFill="1" applyBorder="1" applyProtection="1">
      <protection locked="0"/>
    </xf>
    <xf numFmtId="0" fontId="15" fillId="4" borderId="0" xfId="0" applyFont="1" applyFill="1" applyBorder="1" applyAlignment="1">
      <alignment horizontal="left" vertical="center"/>
    </xf>
    <xf numFmtId="0" fontId="4" fillId="2" borderId="0" xfId="0" applyFont="1" applyFill="1" applyBorder="1" applyAlignment="1">
      <alignment horizontal="left" vertical="center" indent="5"/>
    </xf>
    <xf numFmtId="0" fontId="3" fillId="2" borderId="0" xfId="0" applyFont="1" applyFill="1" applyBorder="1" applyProtection="1">
      <protection locked="0"/>
    </xf>
    <xf numFmtId="0" fontId="18" fillId="0" borderId="0" xfId="0" applyFont="1" applyBorder="1"/>
    <xf numFmtId="0" fontId="16" fillId="4" borderId="0" xfId="0" applyFont="1" applyFill="1" applyBorder="1"/>
    <xf numFmtId="0" fontId="0" fillId="4" borderId="0" xfId="0" applyFill="1" applyBorder="1" applyAlignment="1">
      <alignment horizontal="center"/>
    </xf>
    <xf numFmtId="0" fontId="14" fillId="0" borderId="0" xfId="0" applyFont="1" applyBorder="1"/>
    <xf numFmtId="0" fontId="0" fillId="0" borderId="0" xfId="0" applyBorder="1"/>
    <xf numFmtId="0" fontId="0" fillId="39" borderId="0" xfId="0" applyFill="1" applyBorder="1"/>
    <xf numFmtId="0" fontId="0" fillId="40" borderId="0" xfId="0" applyFill="1" applyBorder="1"/>
    <xf numFmtId="0" fontId="0" fillId="41" borderId="0" xfId="0" applyFill="1" applyBorder="1"/>
    <xf numFmtId="0" fontId="0" fillId="42" borderId="0" xfId="0" applyFill="1" applyBorder="1"/>
    <xf numFmtId="0" fontId="0" fillId="43" borderId="0" xfId="0" applyFill="1" applyBorder="1"/>
    <xf numFmtId="0" fontId="0" fillId="44" borderId="0" xfId="0" applyFill="1" applyBorder="1"/>
    <xf numFmtId="0" fontId="0" fillId="45" borderId="0" xfId="0" applyFill="1" applyBorder="1"/>
    <xf numFmtId="0" fontId="0" fillId="46" borderId="0" xfId="0" applyFill="1" applyBorder="1"/>
    <xf numFmtId="0" fontId="0" fillId="47" borderId="0" xfId="0" applyFill="1" applyBorder="1"/>
    <xf numFmtId="0" fontId="0" fillId="48" borderId="0" xfId="0" applyFill="1" applyBorder="1"/>
    <xf numFmtId="0" fontId="0" fillId="0" borderId="0" xfId="0"/>
    <xf numFmtId="0" fontId="0" fillId="0" borderId="0" xfId="0"/>
    <xf numFmtId="14" fontId="0" fillId="0" borderId="0" xfId="0" applyNumberFormat="1"/>
    <xf numFmtId="0" fontId="21" fillId="0" borderId="0" xfId="0" applyFont="1" applyFill="1" applyAlignment="1"/>
    <xf numFmtId="0" fontId="0" fillId="0" borderId="0" xfId="0"/>
    <xf numFmtId="0" fontId="0" fillId="48" borderId="0" xfId="0" applyFill="1"/>
    <xf numFmtId="0" fontId="0" fillId="0" borderId="0" xfId="0"/>
    <xf numFmtId="0" fontId="0" fillId="0" borderId="0" xfId="0" pivotButton="1"/>
    <xf numFmtId="0" fontId="0" fillId="0" borderId="0" xfId="0" applyNumberFormat="1"/>
    <xf numFmtId="0" fontId="0" fillId="0" borderId="0" xfId="0" applyAlignment="1">
      <alignment horizontal="left"/>
    </xf>
    <xf numFmtId="0" fontId="0" fillId="0" borderId="0" xfId="0"/>
    <xf numFmtId="0" fontId="0" fillId="0" borderId="0" xfId="0" applyFill="1"/>
    <xf numFmtId="3" fontId="9" fillId="0" borderId="0" xfId="0" applyNumberFormat="1" applyFont="1" applyBorder="1"/>
    <xf numFmtId="0" fontId="7" fillId="0" borderId="0" xfId="0" applyFont="1" applyBorder="1"/>
    <xf numFmtId="0" fontId="11" fillId="0" borderId="3" xfId="0" applyFont="1" applyBorder="1"/>
    <xf numFmtId="0" fontId="7" fillId="0" borderId="3" xfId="0" applyFont="1" applyBorder="1" applyAlignment="1">
      <alignment horizontal="right"/>
    </xf>
    <xf numFmtId="0" fontId="7" fillId="0" borderId="3" xfId="0" applyFont="1" applyBorder="1"/>
    <xf numFmtId="15" fontId="7" fillId="0" borderId="3" xfId="0" applyNumberFormat="1" applyFont="1" applyBorder="1"/>
    <xf numFmtId="3" fontId="7" fillId="0" borderId="3" xfId="0" applyNumberFormat="1" applyFont="1" applyBorder="1"/>
    <xf numFmtId="3" fontId="9" fillId="0" borderId="3" xfId="0" applyNumberFormat="1" applyFont="1" applyBorder="1"/>
    <xf numFmtId="0" fontId="1" fillId="49" borderId="1" xfId="1" applyFill="1" applyAlignment="1">
      <alignment vertical="center"/>
    </xf>
    <xf numFmtId="0" fontId="1" fillId="49" borderId="1" xfId="1" applyFill="1"/>
    <xf numFmtId="0" fontId="1" fillId="49" borderId="1" xfId="1" applyFill="1" applyProtection="1">
      <protection locked="0"/>
    </xf>
    <xf numFmtId="9" fontId="1" fillId="49" borderId="1" xfId="1" applyNumberFormat="1" applyFill="1" applyProtection="1">
      <protection locked="0"/>
    </xf>
    <xf numFmtId="0" fontId="0" fillId="48" borderId="0" xfId="0" applyFill="1" applyProtection="1">
      <protection locked="0"/>
    </xf>
    <xf numFmtId="0" fontId="0" fillId="0" borderId="0" xfId="0" applyAlignment="1">
      <alignment horizontal="center"/>
    </xf>
    <xf numFmtId="0" fontId="25" fillId="0" borderId="0" xfId="0" applyFont="1" applyAlignment="1"/>
    <xf numFmtId="9" fontId="0" fillId="0" borderId="0" xfId="200" applyFont="1" applyProtection="1">
      <protection locked="0"/>
    </xf>
    <xf numFmtId="0" fontId="7" fillId="0" borderId="4" xfId="0" applyFont="1" applyBorder="1"/>
    <xf numFmtId="15" fontId="7" fillId="0" borderId="4" xfId="0" applyNumberFormat="1" applyFont="1" applyBorder="1"/>
    <xf numFmtId="0" fontId="27" fillId="48" borderId="0" xfId="0" applyFont="1" applyFill="1"/>
    <xf numFmtId="0" fontId="17" fillId="0" borderId="0" xfId="0" applyFont="1" applyProtection="1">
      <protection locked="0"/>
    </xf>
    <xf numFmtId="2" fontId="17" fillId="0" borderId="0" xfId="0" applyNumberFormat="1" applyFont="1" applyProtection="1">
      <protection locked="0"/>
    </xf>
    <xf numFmtId="14" fontId="17" fillId="0" borderId="0" xfId="0" applyNumberFormat="1" applyFont="1" applyProtection="1">
      <protection locked="0"/>
    </xf>
    <xf numFmtId="9" fontId="17" fillId="0" borderId="0" xfId="0" applyNumberFormat="1" applyFont="1" applyProtection="1">
      <protection locked="0"/>
    </xf>
    <xf numFmtId="9" fontId="17" fillId="0" borderId="0" xfId="200" applyFont="1" applyProtection="1">
      <protection locked="0"/>
    </xf>
    <xf numFmtId="0" fontId="0" fillId="0" borderId="0" xfId="0"/>
    <xf numFmtId="0" fontId="28" fillId="50" borderId="0" xfId="0" applyFont="1" applyFill="1"/>
    <xf numFmtId="0" fontId="25" fillId="0" borderId="0" xfId="0" applyFont="1" applyBorder="1" applyAlignment="1"/>
    <xf numFmtId="14" fontId="0" fillId="0" borderId="0" xfId="0" applyNumberFormat="1" applyAlignment="1">
      <alignment horizontal="left"/>
    </xf>
    <xf numFmtId="0" fontId="0" fillId="0" borderId="0" xfId="0"/>
    <xf numFmtId="0" fontId="0" fillId="0" borderId="0" xfId="0"/>
    <xf numFmtId="164" fontId="0" fillId="0" borderId="0" xfId="0" applyNumberFormat="1"/>
    <xf numFmtId="0" fontId="0" fillId="0" borderId="0" xfId="0"/>
    <xf numFmtId="0" fontId="0" fillId="0" borderId="0" xfId="0"/>
    <xf numFmtId="0" fontId="18" fillId="0" borderId="0" xfId="0" applyFont="1"/>
    <xf numFmtId="18" fontId="0" fillId="0" borderId="0" xfId="0" applyNumberFormat="1"/>
    <xf numFmtId="0" fontId="32" fillId="0" borderId="0" xfId="0" applyFont="1" applyAlignment="1">
      <alignment horizontal="center" vertical="center"/>
    </xf>
    <xf numFmtId="9" fontId="32" fillId="0" borderId="0" xfId="0" applyNumberFormat="1" applyFont="1" applyAlignment="1">
      <alignment horizontal="center" vertical="center"/>
    </xf>
    <xf numFmtId="0" fontId="32" fillId="0" borderId="0" xfId="0" applyFont="1" applyAlignment="1">
      <alignment horizontal="left" vertical="center"/>
    </xf>
    <xf numFmtId="0" fontId="32" fillId="0" borderId="0" xfId="0" applyFont="1" applyAlignment="1">
      <alignment horizontal="right" vertical="center"/>
    </xf>
    <xf numFmtId="0" fontId="33" fillId="0" borderId="0" xfId="0" applyFont="1" applyAlignment="1">
      <alignment horizontal="center" vertical="center"/>
    </xf>
    <xf numFmtId="0" fontId="34" fillId="0" borderId="0" xfId="0" applyFont="1" applyAlignment="1">
      <alignment horizontal="left" vertical="center"/>
    </xf>
    <xf numFmtId="0" fontId="32" fillId="0" borderId="0" xfId="0" applyNumberFormat="1" applyFont="1" applyAlignment="1">
      <alignment horizontal="center" vertical="center"/>
    </xf>
    <xf numFmtId="0" fontId="32" fillId="48" borderId="0" xfId="0" applyFont="1" applyFill="1" applyAlignment="1">
      <alignment horizontal="center" vertical="center"/>
    </xf>
    <xf numFmtId="0" fontId="32" fillId="48" borderId="0" xfId="0" applyFont="1" applyFill="1" applyAlignment="1">
      <alignment horizontal="left" vertical="center"/>
    </xf>
    <xf numFmtId="0" fontId="33" fillId="48" borderId="0" xfId="0" applyFont="1" applyFill="1" applyAlignment="1">
      <alignment horizontal="center" vertical="center"/>
    </xf>
    <xf numFmtId="0" fontId="32" fillId="48" borderId="0" xfId="0" applyFont="1" applyFill="1" applyAlignment="1">
      <alignment horizontal="right" vertical="center"/>
    </xf>
    <xf numFmtId="9" fontId="32" fillId="48" borderId="0" xfId="0" applyNumberFormat="1" applyFont="1" applyFill="1" applyAlignment="1">
      <alignment horizontal="center" vertical="center"/>
    </xf>
    <xf numFmtId="0" fontId="32" fillId="48" borderId="0" xfId="0" applyNumberFormat="1" applyFont="1" applyFill="1" applyAlignment="1">
      <alignment horizontal="center" vertical="center"/>
    </xf>
    <xf numFmtId="0" fontId="35" fillId="48" borderId="0" xfId="0" applyFont="1" applyFill="1"/>
    <xf numFmtId="0" fontId="37" fillId="43" borderId="0" xfId="0" quotePrefix="1" applyFont="1" applyFill="1" applyAlignment="1">
      <alignment horizontal="left" vertical="center"/>
    </xf>
    <xf numFmtId="0" fontId="37" fillId="43" borderId="0" xfId="0" applyFont="1" applyFill="1" applyAlignment="1">
      <alignment horizontal="left" vertical="center"/>
    </xf>
    <xf numFmtId="0" fontId="37" fillId="28" borderId="0" xfId="0" quotePrefix="1" applyFont="1" applyFill="1" applyAlignment="1">
      <alignment horizontal="left" vertical="center"/>
    </xf>
    <xf numFmtId="0" fontId="37" fillId="28" borderId="0" xfId="0" applyFont="1" applyFill="1" applyAlignment="1">
      <alignment horizontal="left" vertical="center"/>
    </xf>
    <xf numFmtId="0" fontId="37" fillId="6" borderId="0" xfId="0" quotePrefix="1" applyFont="1" applyFill="1" applyAlignment="1">
      <alignment horizontal="left" vertical="center"/>
    </xf>
    <xf numFmtId="0" fontId="37" fillId="6" borderId="0" xfId="0" applyFont="1" applyFill="1" applyAlignment="1">
      <alignment horizontal="left" vertical="center"/>
    </xf>
    <xf numFmtId="0" fontId="0" fillId="0" borderId="5" xfId="0" applyBorder="1"/>
    <xf numFmtId="0" fontId="32" fillId="28" borderId="6" xfId="0" applyFont="1" applyFill="1" applyBorder="1" applyAlignment="1">
      <alignment horizontal="center" vertical="center"/>
    </xf>
    <xf numFmtId="9" fontId="32" fillId="28" borderId="6" xfId="0" applyNumberFormat="1" applyFont="1" applyFill="1" applyBorder="1" applyAlignment="1">
      <alignment horizontal="center" vertical="center"/>
    </xf>
    <xf numFmtId="0" fontId="32" fillId="28" borderId="6" xfId="0" applyNumberFormat="1" applyFont="1" applyFill="1" applyBorder="1" applyAlignment="1">
      <alignment horizontal="center" vertical="center"/>
    </xf>
    <xf numFmtId="0" fontId="32" fillId="28" borderId="7" xfId="0" applyFont="1" applyFill="1" applyBorder="1" applyAlignment="1">
      <alignment horizontal="center" vertical="center"/>
    </xf>
    <xf numFmtId="49" fontId="37" fillId="28" borderId="8" xfId="0" applyNumberFormat="1" applyFont="1" applyFill="1" applyBorder="1" applyAlignment="1">
      <alignment horizontal="center" vertical="center"/>
    </xf>
    <xf numFmtId="165" fontId="32" fillId="0" borderId="0" xfId="0" applyNumberFormat="1" applyFont="1" applyAlignment="1">
      <alignment horizontal="right" vertical="center"/>
    </xf>
    <xf numFmtId="0" fontId="31" fillId="0" borderId="0" xfId="0" applyFont="1"/>
    <xf numFmtId="0" fontId="40" fillId="48" borderId="0" xfId="0" applyFont="1" applyFill="1" applyAlignment="1">
      <alignment horizontal="left" vertical="center"/>
    </xf>
    <xf numFmtId="0" fontId="12" fillId="0" borderId="0" xfId="0" applyFont="1" applyAlignment="1">
      <alignment horizontal="center" vertical="center"/>
    </xf>
    <xf numFmtId="0" fontId="10" fillId="0" borderId="0" xfId="0" applyFont="1" applyAlignment="1">
      <alignment horizontal="center"/>
    </xf>
    <xf numFmtId="0" fontId="10" fillId="0" borderId="0" xfId="0" applyFont="1" applyBorder="1" applyAlignment="1">
      <alignment horizontal="center"/>
    </xf>
    <xf numFmtId="9" fontId="29" fillId="0" borderId="0" xfId="0" applyNumberFormat="1" applyFont="1" applyAlignment="1">
      <alignment horizontal="center" vertical="top"/>
    </xf>
    <xf numFmtId="0" fontId="1" fillId="49" borderId="1" xfId="1" applyFill="1" applyAlignment="1">
      <alignment horizontal="left" vertical="center"/>
    </xf>
    <xf numFmtId="0" fontId="28" fillId="0" borderId="0" xfId="0" applyFont="1" applyFill="1" applyBorder="1" applyAlignment="1">
      <alignment horizontal="left" vertical="center"/>
    </xf>
    <xf numFmtId="0" fontId="28" fillId="50" borderId="2" xfId="0" applyFont="1" applyFill="1" applyBorder="1" applyAlignment="1">
      <alignment horizontal="left" vertical="center"/>
    </xf>
    <xf numFmtId="0" fontId="0" fillId="0" borderId="0" xfId="0"/>
    <xf numFmtId="0" fontId="20" fillId="0" borderId="0" xfId="0" applyFont="1" applyFill="1" applyAlignment="1">
      <alignment horizontal="center" vertical="center"/>
    </xf>
    <xf numFmtId="0" fontId="21" fillId="0" borderId="0" xfId="0" applyFont="1" applyFill="1" applyAlignment="1">
      <alignment horizontal="center"/>
    </xf>
    <xf numFmtId="0" fontId="2" fillId="0" borderId="0" xfId="202"/>
    <xf numFmtId="0" fontId="32" fillId="0" borderId="10" xfId="0" applyFont="1" applyBorder="1" applyAlignment="1">
      <alignment horizontal="center" vertical="center"/>
    </xf>
    <xf numFmtId="0" fontId="42" fillId="0" borderId="10" xfId="0" applyFont="1" applyBorder="1" applyAlignment="1">
      <alignment horizontal="left" vertical="center"/>
    </xf>
    <xf numFmtId="0" fontId="32" fillId="0" borderId="10" xfId="0" applyFont="1" applyBorder="1" applyAlignment="1">
      <alignment horizontal="left" vertical="center"/>
    </xf>
    <xf numFmtId="0" fontId="33" fillId="0" borderId="10" xfId="0" applyFont="1" applyBorder="1" applyAlignment="1">
      <alignment horizontal="center" vertical="center"/>
    </xf>
    <xf numFmtId="0" fontId="32" fillId="0" borderId="10" xfId="0" applyFont="1" applyBorder="1" applyAlignment="1">
      <alignment horizontal="right" vertical="center"/>
    </xf>
    <xf numFmtId="9" fontId="32" fillId="0" borderId="10" xfId="0" applyNumberFormat="1" applyFont="1" applyBorder="1" applyAlignment="1">
      <alignment horizontal="center" vertical="center"/>
    </xf>
    <xf numFmtId="0" fontId="32" fillId="0" borderId="10" xfId="0" applyNumberFormat="1" applyFont="1" applyBorder="1" applyAlignment="1">
      <alignment horizontal="center" vertical="center"/>
    </xf>
    <xf numFmtId="0" fontId="32" fillId="0" borderId="11" xfId="0" applyFont="1" applyBorder="1" applyAlignment="1">
      <alignment horizontal="center" vertical="center"/>
    </xf>
    <xf numFmtId="0" fontId="37" fillId="31" borderId="12" xfId="0" applyFont="1" applyFill="1" applyBorder="1" applyAlignment="1">
      <alignment horizontal="center" vertical="center"/>
    </xf>
    <xf numFmtId="0" fontId="32" fillId="35" borderId="6" xfId="0" applyFont="1" applyFill="1" applyBorder="1" applyAlignment="1">
      <alignment horizontal="left" vertical="center"/>
    </xf>
    <xf numFmtId="0" fontId="41" fillId="0" borderId="6" xfId="0" applyFont="1" applyBorder="1" applyAlignment="1">
      <alignment horizontal="center" vertical="center"/>
    </xf>
    <xf numFmtId="0" fontId="32" fillId="0" borderId="6" xfId="0" applyFont="1" applyBorder="1" applyAlignment="1">
      <alignment horizontal="left" vertical="center"/>
    </xf>
    <xf numFmtId="0" fontId="38" fillId="45" borderId="6" xfId="0" applyFont="1" applyFill="1" applyBorder="1" applyAlignment="1">
      <alignment horizontal="center" vertical="center"/>
    </xf>
    <xf numFmtId="0" fontId="36" fillId="0" borderId="6" xfId="0" applyFont="1" applyBorder="1" applyAlignment="1">
      <alignment horizontal="center" vertical="center"/>
    </xf>
    <xf numFmtId="166" fontId="32" fillId="0" borderId="6" xfId="0" applyNumberFormat="1" applyFont="1" applyBorder="1" applyAlignment="1">
      <alignment horizontal="right" vertical="center"/>
    </xf>
    <xf numFmtId="165" fontId="32" fillId="0" borderId="6" xfId="0" applyNumberFormat="1" applyFont="1" applyBorder="1" applyAlignment="1">
      <alignment horizontal="right" vertical="center"/>
    </xf>
    <xf numFmtId="0" fontId="32" fillId="0" borderId="6" xfId="0" applyFont="1" applyBorder="1" applyAlignment="1">
      <alignment horizontal="right" vertical="center"/>
    </xf>
    <xf numFmtId="0" fontId="32" fillId="0" borderId="6" xfId="0" applyFont="1" applyBorder="1" applyAlignment="1">
      <alignment horizontal="center" vertical="center"/>
    </xf>
    <xf numFmtId="9" fontId="32" fillId="0" borderId="6" xfId="0" applyNumberFormat="1" applyFont="1" applyBorder="1" applyAlignment="1">
      <alignment horizontal="center" vertical="center"/>
    </xf>
    <xf numFmtId="0" fontId="32" fillId="0" borderId="6" xfId="0" applyNumberFormat="1" applyFont="1" applyBorder="1" applyAlignment="1">
      <alignment horizontal="left" vertical="center"/>
    </xf>
    <xf numFmtId="0" fontId="32" fillId="0" borderId="7" xfId="0" applyFont="1" applyBorder="1" applyAlignment="1">
      <alignment horizontal="left" vertical="center"/>
    </xf>
    <xf numFmtId="0" fontId="0" fillId="0" borderId="8" xfId="0" applyFill="1" applyBorder="1"/>
    <xf numFmtId="0" fontId="32" fillId="0" borderId="13" xfId="0" applyFont="1" applyBorder="1" applyAlignment="1">
      <alignment horizontal="center" vertical="center"/>
    </xf>
    <xf numFmtId="0" fontId="32" fillId="0" borderId="13" xfId="0" applyFont="1" applyBorder="1" applyAlignment="1">
      <alignment horizontal="left" vertical="center"/>
    </xf>
    <xf numFmtId="0" fontId="39" fillId="0" borderId="13" xfId="0" applyFont="1" applyBorder="1" applyAlignment="1">
      <alignment horizontal="left" vertical="center"/>
    </xf>
    <xf numFmtId="0" fontId="33" fillId="0" borderId="13" xfId="0" applyFont="1" applyBorder="1" applyAlignment="1">
      <alignment horizontal="center" vertical="center"/>
    </xf>
    <xf numFmtId="0" fontId="32" fillId="0" borderId="13" xfId="0" applyFont="1" applyBorder="1" applyAlignment="1">
      <alignment horizontal="right" vertical="center"/>
    </xf>
    <xf numFmtId="165" fontId="32" fillId="0" borderId="13" xfId="0" applyNumberFormat="1" applyFont="1" applyBorder="1" applyAlignment="1">
      <alignment horizontal="right" vertical="center"/>
    </xf>
    <xf numFmtId="9" fontId="32" fillId="0" borderId="13" xfId="0" applyNumberFormat="1" applyFont="1" applyBorder="1" applyAlignment="1">
      <alignment horizontal="center" vertical="center"/>
    </xf>
    <xf numFmtId="0" fontId="32" fillId="0" borderId="13" xfId="0" applyNumberFormat="1" applyFont="1" applyBorder="1" applyAlignment="1">
      <alignment horizontal="center" vertical="center"/>
    </xf>
    <xf numFmtId="0" fontId="0" fillId="0" borderId="9" xfId="0" applyBorder="1"/>
  </cellXfs>
  <cellStyles count="203">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Heading 1" xfId="1" builtinId="16"/>
    <cellStyle name="Hyperlink" xfId="2" builtinId="8" hidden="1"/>
    <cellStyle name="Hyperlink" xfId="202" builtinId="8"/>
    <cellStyle name="Normal" xfId="0" builtinId="0"/>
    <cellStyle name="Normal 3" xfId="201"/>
    <cellStyle name="Percent" xfId="200" builtinId="5"/>
  </cellStyles>
  <dxfs count="5">
    <dxf>
      <font>
        <color rgb="FF9C0006"/>
      </font>
    </dxf>
    <dxf>
      <numFmt numFmtId="167" formatCode="m/d/yyyy"/>
    </dxf>
    <dxf>
      <numFmt numFmtId="167" formatCode="m/d/yyyy"/>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SlicerStyleDark1 2" pivot="0" table="0" count="10">
      <tableStyleElement type="wholeTable" dxfId="4"/>
      <tableStyleElement type="headerRow" dxfId="3"/>
    </tableStyle>
  </tableStyles>
  <colors>
    <mruColors>
      <color rgb="FFF0FFDD"/>
      <color rgb="FFDCF9A9"/>
      <color rgb="FF4472C4"/>
      <color rgb="FFA7E8FF"/>
      <color rgb="FF6DD9FF"/>
      <color rgb="FFFF5050"/>
      <color rgb="FFA6F020"/>
      <color rgb="FFC1EFFF"/>
      <color rgb="FFFF6699"/>
      <color rgb="FFB3F8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8258776604889502E-2"/>
          <c:y val="0.168747777495555"/>
          <c:w val="0.80351473307215904"/>
          <c:h val="0.70013419693505996"/>
        </c:manualLayout>
      </c:layout>
      <c:doughnutChart>
        <c:varyColors val="1"/>
        <c:ser>
          <c:idx val="1"/>
          <c:order val="0"/>
          <c:spPr>
            <a:solidFill>
              <a:srgbClr val="DCF9A9"/>
            </a:solidFill>
            <a:ln>
              <a:noFill/>
            </a:ln>
            <a:effectLst>
              <a:outerShdw blurRad="57150" dist="19050" dir="5400000" algn="ctr" rotWithShape="0">
                <a:srgbClr val="000000">
                  <a:alpha val="63000"/>
                </a:srgbClr>
              </a:outerShdw>
            </a:effectLst>
          </c:spPr>
          <c:dPt>
            <c:idx val="0"/>
            <c:bubble3D val="0"/>
            <c:spPr>
              <a:solidFill>
                <a:srgbClr val="92D05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F12-4C67-A126-C801D0FD01F5}"/>
              </c:ext>
            </c:extLst>
          </c:dPt>
          <c:dPt>
            <c:idx val="1"/>
            <c:bubble3D val="0"/>
            <c:extLst>
              <c:ext xmlns:c16="http://schemas.microsoft.com/office/drawing/2014/chart" uri="{C3380CC4-5D6E-409C-BE32-E72D297353CC}">
                <c16:uniqueId val="{00000003-1B71-43AA-85FE-AAD1180EC1F7}"/>
              </c:ext>
            </c:extLst>
          </c:dPt>
          <c:val>
            <c:numRef>
              <c:f>GanttDashboardTemplate!$AX$2:$AY$2</c:f>
              <c:numCache>
                <c:formatCode>0%</c:formatCode>
                <c:ptCount val="2"/>
                <c:pt idx="0">
                  <c:v>0.5</c:v>
                </c:pt>
                <c:pt idx="1">
                  <c:v>0.5</c:v>
                </c:pt>
              </c:numCache>
            </c:numRef>
          </c:val>
          <c:extLst>
            <c:ext xmlns:c16="http://schemas.microsoft.com/office/drawing/2014/chart" uri="{C3380CC4-5D6E-409C-BE32-E72D297353CC}">
              <c16:uniqueId val="{00000001-C13B-4724-8E0B-A1EA98DC8531}"/>
            </c:ext>
          </c:extLst>
        </c:ser>
        <c:dLbls>
          <c:showLegendKey val="0"/>
          <c:showVal val="0"/>
          <c:showCatName val="0"/>
          <c:showSerName val="0"/>
          <c:showPercent val="0"/>
          <c:showBubbleSize val="0"/>
          <c:showLeaderLines val="0"/>
        </c:dLbls>
        <c:firstSliceAng val="0"/>
        <c:holeSize val="50"/>
      </c:doughnutChart>
    </c:plotArea>
    <c:plotVisOnly val="0"/>
    <c:dispBlanksAs val="zero"/>
    <c:showDLblsOverMax val="0"/>
  </c:chart>
  <c:spPr>
    <a:noFill/>
    <a:ln>
      <a:noFill/>
    </a:ln>
  </c:spPr>
  <c:printSettings>
    <c:headerFooter/>
    <c:pageMargins b="0.75000000000001599" l="0.70000000000000095" r="0.70000000000000095" t="0.75000000000001599"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[Gantt_Excel_Pro_Hourly_Free1.xlsm]PivotSheet!PT1</c:name>
    <c:fmtId val="2"/>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b="0">
                <a:solidFill>
                  <a:schemeClr val="lt1"/>
                </a:solidFill>
                <a:latin typeface="+mn-lt"/>
                <a:ea typeface="+mn-ea"/>
                <a:cs typeface="+mn-cs"/>
              </a:rPr>
              <a:t>TASK STATUS</a:t>
            </a:r>
            <a:endParaRPr lang="en-US" sz="1000" b="0">
              <a:solidFill>
                <a:sysClr val="windowText" lastClr="000000"/>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rgbClr val="DCF9A9"/>
          </a:solidFill>
          <a:ln w="19050">
            <a:solidFill>
              <a:schemeClr val="lt1"/>
            </a:solidFill>
          </a:ln>
          <a:effectLst/>
        </c:spPr>
      </c:pivotFmt>
      <c:pivotFmt>
        <c:idx val="12"/>
        <c:spPr>
          <a:solidFill>
            <a:srgbClr val="A7E8FF"/>
          </a:solidFill>
          <a:ln w="19050">
            <a:solidFill>
              <a:schemeClr val="lt1"/>
            </a:solidFill>
          </a:ln>
          <a:effectLst/>
        </c:spPr>
      </c:pivotFmt>
      <c:pivotFmt>
        <c:idx val="13"/>
        <c:spPr>
          <a:solidFill>
            <a:srgbClr val="FF5050"/>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s>
    <c:plotArea>
      <c:layout/>
      <c:pieChart>
        <c:varyColors val="1"/>
        <c:ser>
          <c:idx val="0"/>
          <c:order val="0"/>
          <c:tx>
            <c:strRef>
              <c:f>PivotSheet!$B$4</c:f>
              <c:strCache>
                <c:ptCount val="1"/>
                <c:pt idx="0">
                  <c:v>Total</c:v>
                </c:pt>
              </c:strCache>
            </c:strRef>
          </c:tx>
          <c:dPt>
            <c:idx val="0"/>
            <c:bubble3D val="0"/>
            <c:spPr>
              <a:solidFill>
                <a:srgbClr val="DCF9A9"/>
              </a:solidFill>
              <a:ln w="19050">
                <a:solidFill>
                  <a:schemeClr val="lt1"/>
                </a:solidFill>
              </a:ln>
              <a:effectLst/>
            </c:spPr>
            <c:extLst>
              <c:ext xmlns:c16="http://schemas.microsoft.com/office/drawing/2014/chart" uri="{C3380CC4-5D6E-409C-BE32-E72D297353CC}">
                <c16:uniqueId val="{00000001-E426-4258-8CA7-71D8556BB275}"/>
              </c:ext>
            </c:extLst>
          </c:dPt>
          <c:dPt>
            <c:idx val="1"/>
            <c:bubble3D val="0"/>
            <c:spPr>
              <a:solidFill>
                <a:srgbClr val="A7E8FF"/>
              </a:solidFill>
              <a:ln w="19050">
                <a:solidFill>
                  <a:schemeClr val="lt1"/>
                </a:solidFill>
              </a:ln>
              <a:effectLst/>
            </c:spPr>
            <c:extLst>
              <c:ext xmlns:c16="http://schemas.microsoft.com/office/drawing/2014/chart" uri="{C3380CC4-5D6E-409C-BE32-E72D297353CC}">
                <c16:uniqueId val="{00000003-E426-4258-8CA7-71D8556BB275}"/>
              </c:ext>
            </c:extLst>
          </c:dPt>
          <c:dPt>
            <c:idx val="2"/>
            <c:bubble3D val="0"/>
            <c:spPr>
              <a:solidFill>
                <a:srgbClr val="FF5050"/>
              </a:solidFill>
              <a:ln w="19050">
                <a:solidFill>
                  <a:schemeClr val="lt1"/>
                </a:solidFill>
              </a:ln>
              <a:effectLst/>
            </c:spPr>
            <c:extLst>
              <c:ext xmlns:c16="http://schemas.microsoft.com/office/drawing/2014/chart" uri="{C3380CC4-5D6E-409C-BE32-E72D297353CC}">
                <c16:uniqueId val="{00000005-E426-4258-8CA7-71D8556BB27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426-4258-8CA7-71D8556BB275}"/>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1"/>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PivotSheet!$A$5:$A$8</c:f>
              <c:strCache>
                <c:ptCount val="4"/>
                <c:pt idx="0">
                  <c:v>Completed</c:v>
                </c:pt>
                <c:pt idx="1">
                  <c:v>InProgress</c:v>
                </c:pt>
                <c:pt idx="2">
                  <c:v>Overdue</c:v>
                </c:pt>
                <c:pt idx="3">
                  <c:v>Planned</c:v>
                </c:pt>
              </c:strCache>
            </c:strRef>
          </c:cat>
          <c:val>
            <c:numRef>
              <c:f>PivotSheet!$B$5:$B$8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8-4D69-45B8-BE23-1083FC1339A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[Gantt_Excel_Pro_Hourly_Free1.xlsm]PivotSheet!PT2</c:name>
    <c:fmtId val="10"/>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a:t>
            </a:r>
            <a:r>
              <a:rPr lang="en-US" sz="1000" baseline="0">
                <a:solidFill>
                  <a:schemeClr val="lt1"/>
                </a:solidFill>
                <a:latin typeface="+mn-lt"/>
                <a:ea typeface="+mn-ea"/>
                <a:cs typeface="+mn-cs"/>
              </a:rPr>
              <a:t> PRIORITY</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1"/>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borderCallout1">
                  <a:avLst/>
                </a:prstGeom>
                <a:noFill/>
                <a:ln>
                  <a:noFill/>
                </a:ln>
              </c15:spPr>
            </c:ext>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FF5050"/>
          </a:solidFill>
          <a:ln w="19050">
            <a:solidFill>
              <a:schemeClr val="lt1"/>
            </a:solidFill>
          </a:ln>
          <a:effectLst/>
        </c:spPr>
      </c:pivotFmt>
      <c:pivotFmt>
        <c:idx val="7"/>
        <c:spPr>
          <a:solidFill>
            <a:srgbClr val="92D050"/>
          </a:solidFill>
          <a:ln w="19050">
            <a:solidFill>
              <a:schemeClr val="lt1"/>
            </a:solidFill>
          </a:ln>
          <a:effectLst/>
        </c:spPr>
      </c:pivotFmt>
      <c:pivotFmt>
        <c:idx val="8"/>
        <c:spPr>
          <a:solidFill>
            <a:srgbClr val="FFC000"/>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0"/>
        <c:spPr>
          <a:solidFill>
            <a:srgbClr val="FF5050"/>
          </a:solidFill>
          <a:ln w="19050">
            <a:solidFill>
              <a:schemeClr val="lt1"/>
            </a:solidFill>
          </a:ln>
          <a:effectLst/>
        </c:spPr>
      </c:pivotFmt>
      <c:pivotFmt>
        <c:idx val="11"/>
        <c:spPr>
          <a:solidFill>
            <a:srgbClr val="92D050"/>
          </a:solidFill>
          <a:ln w="19050">
            <a:solidFill>
              <a:schemeClr val="lt1"/>
            </a:solidFill>
          </a:ln>
          <a:effectLst/>
        </c:spPr>
      </c:pivotFmt>
      <c:pivotFmt>
        <c:idx val="12"/>
        <c:spPr>
          <a:solidFill>
            <a:srgbClr val="FFC000"/>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4"/>
        <c:spPr>
          <a:solidFill>
            <a:srgbClr val="FF5050"/>
          </a:solidFill>
          <a:ln w="19050">
            <a:solidFill>
              <a:schemeClr val="lt1"/>
            </a:solidFill>
          </a:ln>
          <a:effectLst/>
        </c:spPr>
      </c:pivotFmt>
      <c:pivotFmt>
        <c:idx val="15"/>
        <c:spPr>
          <a:solidFill>
            <a:srgbClr val="92D050"/>
          </a:solidFill>
          <a:ln w="19050">
            <a:solidFill>
              <a:schemeClr val="lt1"/>
            </a:solidFill>
          </a:ln>
          <a:effectLst/>
        </c:spPr>
      </c:pivotFmt>
      <c:pivotFmt>
        <c:idx val="16"/>
        <c:spPr>
          <a:solidFill>
            <a:srgbClr val="FFC000"/>
          </a:solidFill>
          <a:ln w="19050">
            <a:solidFill>
              <a:schemeClr val="lt1"/>
            </a:solidFill>
          </a:ln>
          <a:effectLst/>
        </c:spPr>
      </c:pivotFmt>
      <c:pivotFmt>
        <c:idx val="17"/>
        <c:spPr>
          <a:solidFill>
            <a:schemeClr val="accent1"/>
          </a:solidFill>
          <a:ln w="19050">
            <a:solidFill>
              <a:schemeClr val="lt1"/>
            </a:solidFill>
          </a:ln>
          <a:effectLst/>
        </c:spPr>
      </c:pivotFmt>
    </c:pivotFmts>
    <c:plotArea>
      <c:layout/>
      <c:doughnutChart>
        <c:varyColors val="1"/>
        <c:ser>
          <c:idx val="0"/>
          <c:order val="0"/>
          <c:tx>
            <c:strRef>
              <c:f>PivotSheet!$L$4</c:f>
              <c:strCache>
                <c:ptCount val="1"/>
                <c:pt idx="0">
                  <c:v>Total</c:v>
                </c:pt>
              </c:strCache>
            </c:strRef>
          </c:tx>
          <c:dPt>
            <c:idx val="0"/>
            <c:bubble3D val="0"/>
            <c:spPr>
              <a:solidFill>
                <a:srgbClr val="FF5050"/>
              </a:solidFill>
              <a:ln w="19050">
                <a:solidFill>
                  <a:schemeClr val="lt1"/>
                </a:solidFill>
              </a:ln>
              <a:effectLst/>
            </c:spPr>
            <c:extLst>
              <c:ext xmlns:c16="http://schemas.microsoft.com/office/drawing/2014/chart" uri="{C3380CC4-5D6E-409C-BE32-E72D297353CC}">
                <c16:uniqueId val="{00000001-E6E0-4E83-8510-B76807A7554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6E0-4E83-8510-B76807A75548}"/>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E6E0-4E83-8510-B76807A7554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PivotSheet!$K$5:$K$7</c:f>
              <c:strCache>
                <c:ptCount val="3"/>
                <c:pt idx="0">
                  <c:v>HIGH</c:v>
                </c:pt>
                <c:pt idx="1">
                  <c:v>LOW</c:v>
                </c:pt>
                <c:pt idx="2">
                  <c:v>NORMAL</c:v>
                </c:pt>
              </c:strCache>
            </c:strRef>
          </c:cat>
          <c:val>
            <c:numRef>
              <c:f>PivotSheet!$L$5:$L$7</c:f>
              <c:numCache>
                <c:formatCode>General</c:formatCode>
                <c:ptCount val="3"/>
                <c:pt idx="0">
                  <c:v>1</c:v>
                </c:pt>
                <c:pt idx="1">
                  <c:v>1</c:v>
                </c:pt>
                <c:pt idx="2">
                  <c:v>2</c:v>
                </c:pt>
              </c:numCache>
            </c:numRef>
          </c:val>
          <c:extLst>
            <c:ext xmlns:c16="http://schemas.microsoft.com/office/drawing/2014/chart" uri="{C3380CC4-5D6E-409C-BE32-E72D297353CC}">
              <c16:uniqueId val="{00000004-599A-4CE6-B5C8-CD5626369C67}"/>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[Gantt_Excel_Pro_Hourly_Free1.xlsm]PivotSheet!PT3</c:name>
    <c:fmtId val="16"/>
  </c:pivotSource>
  <c:chart>
    <c:title>
      <c:tx>
        <c:rich>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r>
              <a:rPr lang="en-US" sz="1000">
                <a:solidFill>
                  <a:schemeClr val="lt1"/>
                </a:solidFill>
                <a:latin typeface="+mn-lt"/>
                <a:ea typeface="+mn-ea"/>
                <a:cs typeface="+mn-cs"/>
              </a:rPr>
              <a:t>TASKS -</a:t>
            </a:r>
            <a:r>
              <a:rPr lang="en-US" sz="1000" baseline="0">
                <a:solidFill>
                  <a:schemeClr val="lt1"/>
                </a:solidFill>
                <a:latin typeface="+mn-lt"/>
                <a:ea typeface="+mn-ea"/>
                <a:cs typeface="+mn-cs"/>
              </a:rPr>
              <a:t> COSTS</a:t>
            </a:r>
            <a:endParaRPr lang="en-US" sz="1000">
              <a:solidFill>
                <a:schemeClr val="bg1">
                  <a:lumMod val="50000"/>
                </a:schemeClr>
              </a:solidFill>
              <a:latin typeface="Arial" panose="020B0604020202020204" pitchFamily="34" charset="0"/>
              <a:cs typeface="Arial" panose="020B0604020202020204" pitchFamily="34" charset="0"/>
            </a:endParaRPr>
          </a:p>
        </c:rich>
      </c:tx>
      <c:overlay val="1"/>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txPr>
        <a:bodyPr rot="0" spcFirstLastPara="1" vertOverflow="ellipsis" vert="horz" wrap="square" anchor="ctr" anchorCtr="1"/>
        <a:lstStyle/>
        <a:p>
          <a:pPr>
            <a:defRPr sz="1400" b="0" i="0" u="none" strike="noStrike" kern="1200" spc="0" baseline="0">
              <a:solidFill>
                <a:schemeClr val="lt1"/>
              </a:solidFill>
              <a:latin typeface="+mn-lt"/>
              <a:ea typeface="+mn-ea"/>
              <a:cs typeface="+mn-cs"/>
            </a:defRPr>
          </a:pPr>
          <a:endParaRPr lang="en-US"/>
        </a:p>
      </c:txPr>
    </c:title>
    <c:autoTitleDeleted val="0"/>
    <c:pivotFmts>
      <c:pivotFmt>
        <c:idx val="0"/>
        <c:dLbl>
          <c:idx val="0"/>
          <c:showLegendKey val="0"/>
          <c:showVal val="1"/>
          <c:showCatName val="1"/>
          <c:showSerName val="0"/>
          <c:showPercent val="0"/>
          <c:showBubbleSize val="0"/>
          <c:extLst>
            <c:ext xmlns:c15="http://schemas.microsoft.com/office/drawing/2012/chart" uri="{CE6537A1-D6FC-4f65-9D91-7224C49458BB}"/>
          </c:extLst>
        </c:dLbl>
      </c:pivotFmt>
      <c:pivotFmt>
        <c:idx val="1"/>
        <c:dLbl>
          <c:idx val="0"/>
          <c:showLegendKey val="0"/>
          <c:showVal val="1"/>
          <c:showCatName val="1"/>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a:scene3d>
            <a:camera prst="orthographicFront"/>
            <a:lightRig rig="threePt" dir="t"/>
          </a:scene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B0F0"/>
          </a:solidFill>
          <a:ln>
            <a:noFill/>
          </a:ln>
          <a:effectLst/>
          <a:scene3d>
            <a:camera prst="orthographicFront"/>
            <a:lightRig rig="threePt" dir="t"/>
          </a:scene3d>
        </c:spPr>
      </c:pivotFmt>
      <c:pivotFmt>
        <c:idx val="6"/>
        <c:spPr>
          <a:solidFill>
            <a:schemeClr val="accent4"/>
          </a:solidFill>
          <a:ln>
            <a:noFill/>
          </a:ln>
          <a:effectLst/>
          <a:scene3d>
            <a:camera prst="orthographicFront"/>
            <a:lightRig rig="threePt" dir="t"/>
          </a:scene3d>
        </c:spPr>
      </c:pivotFmt>
      <c:pivotFmt>
        <c:idx val="7"/>
        <c:spPr>
          <a:solidFill>
            <a:schemeClr val="bg1">
              <a:lumMod val="50000"/>
            </a:schemeClr>
          </a:solidFill>
          <a:ln>
            <a:noFill/>
          </a:ln>
          <a:effectLst/>
          <a:scene3d>
            <a:camera prst="orthographicFront"/>
            <a:lightRig rig="threePt" dir="t"/>
          </a:scene3d>
        </c:spPr>
      </c:pivotFmt>
    </c:pivotFmts>
    <c:plotArea>
      <c:layout/>
      <c:barChart>
        <c:barDir val="bar"/>
        <c:grouping val="clustered"/>
        <c:varyColors val="0"/>
        <c:ser>
          <c:idx val="0"/>
          <c:order val="0"/>
          <c:tx>
            <c:strRef>
              <c:f>PivotSheet!$V$4</c:f>
              <c:strCache>
                <c:ptCount val="1"/>
                <c:pt idx="0">
                  <c:v>Total</c:v>
                </c:pt>
              </c:strCache>
            </c:strRef>
          </c:tx>
          <c:spPr>
            <a:solidFill>
              <a:schemeClr val="accent4"/>
            </a:solidFill>
            <a:ln>
              <a:noFill/>
            </a:ln>
            <a:effectLst/>
            <a:scene3d>
              <a:camera prst="orthographicFront"/>
              <a:lightRig rig="threePt" dir="t"/>
            </a:scene3d>
          </c:spPr>
          <c:invertIfNegative val="0"/>
          <c:dPt>
            <c:idx val="0"/>
            <c:invertIfNegative val="0"/>
            <c:bubble3D val="0"/>
            <c:spPr>
              <a:solidFill>
                <a:schemeClr val="bg1">
                  <a:lumMod val="50000"/>
                </a:schemeClr>
              </a:solidFill>
              <a:ln>
                <a:noFill/>
              </a:ln>
              <a:effectLst/>
              <a:scene3d>
                <a:camera prst="orthographicFront"/>
                <a:lightRig rig="threePt" dir="t"/>
              </a:scene3d>
            </c:spPr>
            <c:extLst>
              <c:ext xmlns:c16="http://schemas.microsoft.com/office/drawing/2014/chart" uri="{C3380CC4-5D6E-409C-BE32-E72D297353CC}">
                <c16:uniqueId val="{00000004-1D78-4AC3-AC30-7384DFA0F2CF}"/>
              </c:ext>
            </c:extLst>
          </c:dPt>
          <c:dPt>
            <c:idx val="1"/>
            <c:invertIfNegative val="0"/>
            <c:bubble3D val="0"/>
            <c:spPr>
              <a:solidFill>
                <a:srgbClr val="00B0F0"/>
              </a:solidFill>
              <a:ln>
                <a:noFill/>
              </a:ln>
              <a:effectLst/>
              <a:scene3d>
                <a:camera prst="orthographicFront"/>
                <a:lightRig rig="threePt" dir="t"/>
              </a:scene3d>
            </c:spPr>
            <c:extLst>
              <c:ext xmlns:c16="http://schemas.microsoft.com/office/drawing/2014/chart" uri="{C3380CC4-5D6E-409C-BE32-E72D297353CC}">
                <c16:uniqueId val="{00000002-1D78-4AC3-AC30-7384DFA0F2CF}"/>
              </c:ext>
            </c:extLst>
          </c:dPt>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PivotSheet!$U$5:$U$7</c:f>
              <c:strCache>
                <c:ptCount val="3"/>
                <c:pt idx="0">
                  <c:v>Baseline Cost</c:v>
                </c:pt>
                <c:pt idx="1">
                  <c:v>Estimated Cost</c:v>
                </c:pt>
                <c:pt idx="2">
                  <c:v>Actual Cost</c:v>
                </c:pt>
              </c:strCache>
            </c:strRef>
          </c:cat>
          <c:val>
            <c:numRef>
              <c:f>PivotSheet!$V$5:$V$7</c:f>
              <c:numCache>
                <c:formatCode>"$"\ #,##0</c:formatCode>
                <c:ptCount val="3"/>
              </c:numCache>
            </c:numRef>
          </c:val>
          <c:extLst>
            <c:ext xmlns:c16="http://schemas.microsoft.com/office/drawing/2014/chart" uri="{C3380CC4-5D6E-409C-BE32-E72D297353CC}">
              <c16:uniqueId val="{00000000-1D78-4AC3-AC30-7384DFA0F2CF}"/>
            </c:ext>
          </c:extLst>
        </c:ser>
        <c:dLbls>
          <c:showLegendKey val="0"/>
          <c:showVal val="0"/>
          <c:showCatName val="0"/>
          <c:showSerName val="0"/>
          <c:showPercent val="0"/>
          <c:showBubbleSize val="0"/>
        </c:dLbls>
        <c:gapWidth val="150"/>
        <c:axId val="430710176"/>
        <c:axId val="704161712"/>
      </c:barChart>
      <c:catAx>
        <c:axId val="43071017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4161712"/>
        <c:crosses val="autoZero"/>
        <c:auto val="1"/>
        <c:lblAlgn val="ctr"/>
        <c:lblOffset val="100"/>
        <c:noMultiLvlLbl val="0"/>
      </c:catAx>
      <c:valAx>
        <c:axId val="704161712"/>
        <c:scaling>
          <c:orientation val="minMax"/>
        </c:scaling>
        <c:delete val="1"/>
        <c:axPos val="b"/>
        <c:numFmt formatCode="&quot;$&quot;\ #,##0" sourceLinked="1"/>
        <c:majorTickMark val="none"/>
        <c:minorTickMark val="none"/>
        <c:tickLblPos val="nextTo"/>
        <c:crossAx val="430710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www.ganttexcel.com/?utm_source=xlcustlogo&amp;utm_medium=customer" TargetMode="External"/></Relationships>
</file>

<file path=xl/drawings/drawing1.xml><?xml version="1.0" encoding="utf-8"?>
<xdr:wsDr xmlns:xdr="http://schemas.openxmlformats.org/drawingml/2006/spreadsheetDrawing" xmlns:a="http://schemas.openxmlformats.org/drawingml/2006/main">
  <xdr:twoCellAnchor>
    <xdr:from>
      <xdr:col>1</xdr:col>
      <xdr:colOff>333375</xdr:colOff>
      <xdr:row>5</xdr:row>
      <xdr:rowOff>85726</xdr:rowOff>
    </xdr:from>
    <xdr:to>
      <xdr:col>7</xdr:col>
      <xdr:colOff>9525</xdr:colOff>
      <xdr:row>12</xdr:row>
      <xdr:rowOff>104776</xdr:rowOff>
    </xdr:to>
    <xdr:sp macro="" textlink="">
      <xdr:nvSpPr>
        <xdr:cNvPr id="2" name="Notice2">
          <a:extLst>
            <a:ext uri="{FF2B5EF4-FFF2-40B4-BE49-F238E27FC236}">
              <a16:creationId xmlns:a16="http://schemas.microsoft.com/office/drawing/2014/main" id="{00000000-0008-0000-0000-000002000000}"/>
            </a:ext>
          </a:extLst>
        </xdr:cNvPr>
        <xdr:cNvSpPr/>
      </xdr:nvSpPr>
      <xdr:spPr>
        <a:xfrm>
          <a:off x="1190625" y="1038226"/>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1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absoluteAnchor>
    <xdr:pos x="0" y="437773"/>
    <xdr:ext cx="2286000" cy="2286000"/>
    <xdr:graphicFrame macro="">
      <xdr:nvGraphicFramePr>
        <xdr:cNvPr id="2" name="chrt_ProjectProgress">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absoluteAnchor>
    <xdr:pos x="231637" y="3058419"/>
    <xdr:ext cx="914400" cy="365760"/>
    <xdr:sp macro="" textlink="">
      <xdr:nvSpPr>
        <xdr:cNvPr id="3" name="EstimatedBudget">
          <a:extLst>
            <a:ext uri="{FF2B5EF4-FFF2-40B4-BE49-F238E27FC236}">
              <a16:creationId xmlns:a16="http://schemas.microsoft.com/office/drawing/2014/main" id="{00000000-0008-0000-0200-000003000000}"/>
            </a:ext>
          </a:extLst>
        </xdr:cNvPr>
        <xdr:cNvSpPr/>
      </xdr:nvSpPr>
      <xdr:spPr>
        <a:xfrm>
          <a:off x="231637" y="3058419"/>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ESTIMATED BUDGET</a:t>
          </a:r>
        </a:p>
      </xdr:txBody>
    </xdr:sp>
    <xdr:clientData/>
  </xdr:absoluteAnchor>
  <xdr:absoluteAnchor>
    <xdr:pos x="1146037" y="3058419"/>
    <xdr:ext cx="1463040" cy="365760"/>
    <xdr:sp macro="" textlink="$AS$2">
      <xdr:nvSpPr>
        <xdr:cNvPr id="21" name="EstimatedBudget">
          <a:extLst>
            <a:ext uri="{FF2B5EF4-FFF2-40B4-BE49-F238E27FC236}">
              <a16:creationId xmlns:a16="http://schemas.microsoft.com/office/drawing/2014/main" id="{00000000-0008-0000-0200-000015000000}"/>
            </a:ext>
          </a:extLst>
        </xdr:cNvPr>
        <xdr:cNvSpPr/>
      </xdr:nvSpPr>
      <xdr:spPr>
        <a:xfrm>
          <a:off x="1146037" y="3058419"/>
          <a:ext cx="1463040" cy="365760"/>
        </a:xfrm>
        <a:prstGeom prst="rect">
          <a:avLst/>
        </a:prstGeom>
        <a:solidFill>
          <a:srgbClr val="57D3FF"/>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5E0A87CC-CC3C-40E7-B128-89605F0C0F66}"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$ 1000</a:t>
          </a:fld>
          <a:endParaRPr lang="en-IN"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2612887" y="3429894"/>
    <xdr:ext cx="1463040" cy="365760"/>
    <xdr:sp macro="" textlink="$AT$2">
      <xdr:nvSpPr>
        <xdr:cNvPr id="24" name="EstimatedBudget">
          <a:extLst>
            <a:ext uri="{FF2B5EF4-FFF2-40B4-BE49-F238E27FC236}">
              <a16:creationId xmlns:a16="http://schemas.microsoft.com/office/drawing/2014/main" id="{00000000-0008-0000-0200-000018000000}"/>
            </a:ext>
          </a:extLst>
        </xdr:cNvPr>
        <xdr:cNvSpPr/>
      </xdr:nvSpPr>
      <xdr:spPr>
        <a:xfrm>
          <a:off x="2612887" y="3429894"/>
          <a:ext cx="1463040" cy="365760"/>
        </a:xfrm>
        <a:prstGeom prst="rect">
          <a:avLst/>
        </a:prstGeom>
        <a:solidFill>
          <a:schemeClr val="accent4"/>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E699BC73-BF65-4A8A-AF1E-30AAEC1BEADE}" type="TxLink">
            <a:rPr lang="en-US" sz="1200" b="0" i="0" u="none" strike="noStrike">
              <a:solidFill>
                <a:schemeClr val="bg1"/>
              </a:solidFill>
              <a:effectLst>
                <a:outerShdw blurRad="50800" dist="38100" dir="2700000" algn="tl" rotWithShape="0">
                  <a:prstClr val="black">
                    <a:alpha val="40000"/>
                  </a:prstClr>
                </a:outerShdw>
              </a:effectLst>
              <a:latin typeface="Calibri"/>
              <a:cs typeface="Calibri"/>
            </a:rPr>
            <a:pPr algn="ctr"/>
            <a:t>$ 500</a:t>
          </a:fld>
          <a:endParaRPr lang="en-US" sz="1200" b="1">
            <a:solidFill>
              <a:schemeClr val="bg1"/>
            </a:solidFill>
            <a:effectLst>
              <a:outerShdw blurRad="50800" dist="38100" dir="2700000" algn="tl" rotWithShape="0">
                <a:prstClr val="black">
                  <a:alpha val="40000"/>
                </a:prstClr>
              </a:outerShdw>
            </a:effectLst>
          </a:endParaRPr>
        </a:p>
      </xdr:txBody>
    </xdr:sp>
    <xdr:clientData/>
  </xdr:absoluteAnchor>
  <xdr:absoluteAnchor>
    <xdr:pos x="1696107" y="3429894"/>
    <xdr:ext cx="914400" cy="365760"/>
    <xdr:sp macro="" textlink="">
      <xdr:nvSpPr>
        <xdr:cNvPr id="25" name="EstimatedBudget">
          <a:extLst>
            <a:ext uri="{FF2B5EF4-FFF2-40B4-BE49-F238E27FC236}">
              <a16:creationId xmlns:a16="http://schemas.microsoft.com/office/drawing/2014/main" id="{00000000-0008-0000-0200-000019000000}"/>
            </a:ext>
          </a:extLst>
        </xdr:cNvPr>
        <xdr:cNvSpPr/>
      </xdr:nvSpPr>
      <xdr:spPr>
        <a:xfrm>
          <a:off x="1696107" y="3429894"/>
          <a:ext cx="914400" cy="365760"/>
        </a:xfrm>
        <a:prstGeom prst="rect">
          <a:avLst/>
        </a:prstGeom>
        <a:solidFill>
          <a:schemeClr val="bg1">
            <a:lumMod val="50000"/>
          </a:schemeClr>
        </a:solidFill>
        <a:ln>
          <a:noFill/>
        </a:ln>
        <a:effectLst>
          <a:outerShdw blurRad="76200" dist="12700" dir="8100000" sy="-23000" kx="800400" algn="br" rotWithShape="0">
            <a:prstClr val="black">
              <a:alpha val="2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800" b="1">
              <a:solidFill>
                <a:schemeClr val="bg1"/>
              </a:solidFill>
            </a:rPr>
            <a:t>ACTUAL</a:t>
          </a:r>
          <a:br>
            <a:rPr lang="en-US" sz="800" b="1">
              <a:solidFill>
                <a:schemeClr val="bg1"/>
              </a:solidFill>
            </a:rPr>
          </a:br>
          <a:r>
            <a:rPr lang="en-US" sz="800" b="1">
              <a:solidFill>
                <a:schemeClr val="bg1"/>
              </a:solidFill>
            </a:rPr>
            <a:t>COST</a:t>
          </a:r>
        </a:p>
      </xdr:txBody>
    </xdr:sp>
    <xdr:clientData/>
  </xdr:absoluteAnchor>
  <xdr:absoluteAnchor>
    <xdr:pos x="589894" y="1464242"/>
    <xdr:ext cx="1085850" cy="345836"/>
    <xdr:sp macro="" textlink="$AX$2">
      <xdr:nvSpPr>
        <xdr:cNvPr id="18" name="BC">
          <a:extLst>
            <a:ext uri="{FF2B5EF4-FFF2-40B4-BE49-F238E27FC236}">
              <a16:creationId xmlns:a16="http://schemas.microsoft.com/office/drawing/2014/main" id="{00000000-0008-0000-0200-000012000000}"/>
            </a:ext>
          </a:extLst>
        </xdr:cNvPr>
        <xdr:cNvSpPr/>
      </xdr:nvSpPr>
      <xdr:spPr>
        <a:xfrm>
          <a:off x="589894" y="1464242"/>
          <a:ext cx="1085850" cy="345836"/>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fld id="{C71B8E82-EED3-4ABF-88F4-91CAC87EB43F}" type="TxLink">
            <a:rPr lang="en-US" sz="1600" b="0" i="0" u="none" strike="noStrike">
              <a:solidFill>
                <a:schemeClr val="tx1"/>
              </a:solidFill>
              <a:latin typeface="Calibri"/>
              <a:cs typeface="Calibri"/>
            </a:rPr>
            <a:pPr algn="ctr"/>
            <a:t>50%</a:t>
          </a:fld>
          <a:endParaRPr lang="en-IN" sz="1600" b="0">
            <a:solidFill>
              <a:schemeClr val="tx1"/>
            </a:solidFill>
          </a:endParaRPr>
        </a:p>
      </xdr:txBody>
    </xdr:sp>
    <xdr:clientData/>
  </xdr:absoluteAnchor>
  <mc:AlternateContent xmlns:mc="http://schemas.openxmlformats.org/markup-compatibility/2006">
    <mc:Choice xmlns:a14="http://schemas.microsoft.com/office/drawing/2010/main" Requires="a14">
      <xdr:twoCellAnchor editAs="absolute">
        <xdr:from>
          <xdr:col>5</xdr:col>
          <xdr:colOff>142875</xdr:colOff>
          <xdr:row>1</xdr:row>
          <xdr:rowOff>19050</xdr:rowOff>
        </xdr:from>
        <xdr:to>
          <xdr:col>5</xdr:col>
          <xdr:colOff>676275</xdr:colOff>
          <xdr:row>1</xdr:row>
          <xdr:rowOff>228600</xdr:rowOff>
        </xdr:to>
        <xdr:sp macro="" textlink="">
          <xdr:nvSpPr>
            <xdr:cNvPr id="2049" name="btnRefreshDashboard"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xdr:from>
      <xdr:col>6</xdr:col>
      <xdr:colOff>492672</xdr:colOff>
      <xdr:row>10</xdr:row>
      <xdr:rowOff>152400</xdr:rowOff>
    </xdr:from>
    <xdr:to>
      <xdr:col>9</xdr:col>
      <xdr:colOff>549822</xdr:colOff>
      <xdr:row>27</xdr:row>
      <xdr:rowOff>107731</xdr:rowOff>
    </xdr:to>
    <xdr:graphicFrame macro="">
      <xdr:nvGraphicFramePr>
        <xdr:cNvPr id="28" name="chTaskStatus">
          <a:extLst>
            <a:ext uri="{FF2B5EF4-FFF2-40B4-BE49-F238E27FC236}">
              <a16:creationId xmlns:a16="http://schemas.microsoft.com/office/drawing/2014/main" id="{00000000-0008-0000-02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90738</xdr:colOff>
      <xdr:row>12</xdr:row>
      <xdr:rowOff>171951</xdr:rowOff>
    </xdr:from>
    <xdr:to>
      <xdr:col>6</xdr:col>
      <xdr:colOff>414588</xdr:colOff>
      <xdr:row>19</xdr:row>
      <xdr:rowOff>17646</xdr:rowOff>
    </xdr:to>
    <mc:AlternateContent xmlns:mc="http://schemas.openxmlformats.org/markup-compatibility/2006" xmlns:a14="http://schemas.microsoft.com/office/drawing/2010/main">
      <mc:Choice Requires="a14">
        <xdr:graphicFrame macro="">
          <xdr:nvGraphicFramePr>
            <xdr:cNvPr id="29" name="Priority">
              <a:extLst>
                <a:ext uri="{FF2B5EF4-FFF2-40B4-BE49-F238E27FC236}">
                  <a16:creationId xmlns:a16="http://schemas.microsoft.com/office/drawing/2014/main" id="{00000000-0008-0000-0200-00001D000000}"/>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4348413" y="2410326"/>
              <a:ext cx="1371600" cy="11887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638069</xdr:colOff>
      <xdr:row>10</xdr:row>
      <xdr:rowOff>155124</xdr:rowOff>
    </xdr:from>
    <xdr:to>
      <xdr:col>12</xdr:col>
      <xdr:colOff>695219</xdr:colOff>
      <xdr:row>27</xdr:row>
      <xdr:rowOff>110455</xdr:rowOff>
    </xdr:to>
    <xdr:graphicFrame macro="">
      <xdr:nvGraphicFramePr>
        <xdr:cNvPr id="30" name="Chart 29">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95249</xdr:colOff>
      <xdr:row>3</xdr:row>
      <xdr:rowOff>9525</xdr:rowOff>
    </xdr:from>
    <xdr:to>
      <xdr:col>6</xdr:col>
      <xdr:colOff>419099</xdr:colOff>
      <xdr:row>12</xdr:row>
      <xdr:rowOff>123825</xdr:rowOff>
    </xdr:to>
    <mc:AlternateContent xmlns:mc="http://schemas.openxmlformats.org/markup-compatibility/2006" xmlns:a14="http://schemas.microsoft.com/office/drawing/2010/main">
      <mc:Choice Requires="a14">
        <xdr:graphicFrame macro="">
          <xdr:nvGraphicFramePr>
            <xdr:cNvPr id="31" name="Status">
              <a:extLst>
                <a:ext uri="{FF2B5EF4-FFF2-40B4-BE49-F238E27FC236}">
                  <a16:creationId xmlns:a16="http://schemas.microsoft.com/office/drawing/2014/main" id="{00000000-0008-0000-0200-00001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4352924" y="533400"/>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495630</xdr:colOff>
      <xdr:row>28</xdr:row>
      <xdr:rowOff>9853</xdr:rowOff>
    </xdr:from>
    <xdr:to>
      <xdr:col>12</xdr:col>
      <xdr:colOff>692818</xdr:colOff>
      <xdr:row>37</xdr:row>
      <xdr:rowOff>114300</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absoluteAnchor>
    <xdr:pos x="977464" y="1667880"/>
    <xdr:ext cx="1085850" cy="237119"/>
    <xdr:sp macro="" textlink="">
      <xdr:nvSpPr>
        <xdr:cNvPr id="17" name="BC">
          <a:extLst>
            <a:ext uri="{FF2B5EF4-FFF2-40B4-BE49-F238E27FC236}">
              <a16:creationId xmlns:a16="http://schemas.microsoft.com/office/drawing/2014/main" id="{00000000-0008-0000-0200-000011000000}"/>
            </a:ext>
          </a:extLst>
        </xdr:cNvPr>
        <xdr:cNvSpPr/>
      </xdr:nvSpPr>
      <xdr:spPr>
        <a:xfrm>
          <a:off x="977464" y="1667880"/>
          <a:ext cx="1085850" cy="237119"/>
        </a:xfrm>
        <a:prstGeom prst="rect">
          <a:avLst/>
        </a:prstGeom>
        <a:noFill/>
        <a:ln>
          <a:noFill/>
        </a:ln>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US" sz="1000" b="0" i="0" u="none" strike="noStrike">
              <a:solidFill>
                <a:sysClr val="windowText" lastClr="000000"/>
              </a:solidFill>
              <a:latin typeface="Calibri"/>
              <a:cs typeface="Calibri"/>
            </a:rPr>
            <a:t>COMPLETE</a:t>
          </a:r>
        </a:p>
      </xdr:txBody>
    </xdr:sp>
    <xdr:clientData/>
  </xdr:absoluteAnchor>
  <xdr:twoCellAnchor editAs="oneCell">
    <xdr:from>
      <xdr:col>6</xdr:col>
      <xdr:colOff>492292</xdr:colOff>
      <xdr:row>3</xdr:row>
      <xdr:rowOff>5014</xdr:rowOff>
    </xdr:from>
    <xdr:to>
      <xdr:col>12</xdr:col>
      <xdr:colOff>682792</xdr:colOff>
      <xdr:row>10</xdr:row>
      <xdr:rowOff>57150</xdr:rowOff>
    </xdr:to>
    <mc:AlternateContent xmlns:mc="http://schemas.openxmlformats.org/markup-compatibility/2006" xmlns:tsle="http://schemas.microsoft.com/office/drawing/2012/timeslicer">
      <mc:Choice Requires="tsle">
        <xdr:graphicFrame macro="">
          <xdr:nvGraphicFramePr>
            <xdr:cNvPr id="19" name="EED 2">
              <a:extLst>
                <a:ext uri="{FF2B5EF4-FFF2-40B4-BE49-F238E27FC236}">
                  <a16:creationId xmlns:a16="http://schemas.microsoft.com/office/drawing/2014/main" id="{00000000-0008-0000-0200-000013000000}"/>
                </a:ext>
              </a:extLst>
            </xdr:cNvPr>
            <xdr:cNvGraphicFramePr/>
          </xdr:nvGraphicFramePr>
          <xdr:xfrm>
            <a:off x="0" y="0"/>
            <a:ext cx="0" cy="0"/>
          </xdr:xfrm>
          <a:graphic>
            <a:graphicData uri="http://schemas.microsoft.com/office/drawing/2012/timeslicer">
              <tsle:timeslicer name="EED 2"/>
            </a:graphicData>
          </a:graphic>
        </xdr:graphicFrame>
      </mc:Choice>
      <mc:Fallback xmlns="">
        <xdr:sp macro="" textlink="">
          <xdr:nvSpPr>
            <xdr:cNvPr id="0" name=""/>
            <xdr:cNvSpPr>
              <a:spLocks noTextEdit="1"/>
            </xdr:cNvSpPr>
          </xdr:nvSpPr>
          <xdr:spPr>
            <a:xfrm>
              <a:off x="5797717" y="528889"/>
              <a:ext cx="6477000" cy="1385636"/>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5</xdr:col>
      <xdr:colOff>95250</xdr:colOff>
      <xdr:row>19</xdr:row>
      <xdr:rowOff>85725</xdr:rowOff>
    </xdr:from>
    <xdr:to>
      <xdr:col>6</xdr:col>
      <xdr:colOff>419100</xdr:colOff>
      <xdr:row>37</xdr:row>
      <xdr:rowOff>114300</xdr:rowOff>
    </xdr:to>
    <mc:AlternateContent xmlns:mc="http://schemas.openxmlformats.org/markup-compatibility/2006" xmlns:a14="http://schemas.microsoft.com/office/drawing/2010/main">
      <mc:Choice Requires="a14">
        <xdr:graphicFrame macro="">
          <xdr:nvGraphicFramePr>
            <xdr:cNvPr id="20" name="Resource">
              <a:extLst>
                <a:ext uri="{FF2B5EF4-FFF2-40B4-BE49-F238E27FC236}">
                  <a16:creationId xmlns:a16="http://schemas.microsoft.com/office/drawing/2014/main" id="{00000000-0008-0000-0200-000014000000}"/>
                </a:ext>
              </a:extLst>
            </xdr:cNvPr>
            <xdr:cNvGraphicFramePr/>
          </xdr:nvGraphicFramePr>
          <xdr:xfrm>
            <a:off x="0" y="0"/>
            <a:ext cx="0" cy="0"/>
          </xdr:xfrm>
          <a:graphic>
            <a:graphicData uri="http://schemas.microsoft.com/office/drawing/2010/slicer">
              <sle:slicer xmlns:sle="http://schemas.microsoft.com/office/drawing/2010/slicer" name="Resource"/>
            </a:graphicData>
          </a:graphic>
        </xdr:graphicFrame>
      </mc:Choice>
      <mc:Fallback xmlns="">
        <xdr:sp macro="" textlink="">
          <xdr:nvSpPr>
            <xdr:cNvPr id="0" name=""/>
            <xdr:cNvSpPr>
              <a:spLocks noTextEdit="1"/>
            </xdr:cNvSpPr>
          </xdr:nvSpPr>
          <xdr:spPr>
            <a:xfrm>
              <a:off x="4352925" y="3667125"/>
              <a:ext cx="1371600" cy="3457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9525</xdr:colOff>
      <xdr:row>39</xdr:row>
      <xdr:rowOff>180975</xdr:rowOff>
    </xdr:from>
    <xdr:to>
      <xdr:col>8</xdr:col>
      <xdr:colOff>95250</xdr:colOff>
      <xdr:row>47</xdr:row>
      <xdr:rowOff>9525</xdr:rowOff>
    </xdr:to>
    <xdr:sp macro="" textlink="">
      <xdr:nvSpPr>
        <xdr:cNvPr id="22" name="Notice4">
          <a:extLst>
            <a:ext uri="{FF2B5EF4-FFF2-40B4-BE49-F238E27FC236}">
              <a16:creationId xmlns:a16="http://schemas.microsoft.com/office/drawing/2014/main" id="{00000000-0008-0000-0200-000016000000}"/>
            </a:ext>
          </a:extLst>
        </xdr:cNvPr>
        <xdr:cNvSpPr/>
      </xdr:nvSpPr>
      <xdr:spPr>
        <a:xfrm>
          <a:off x="2171700" y="763905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12</xdr:row>
      <xdr:rowOff>0</xdr:rowOff>
    </xdr:from>
    <xdr:to>
      <xdr:col>10</xdr:col>
      <xdr:colOff>790575</xdr:colOff>
      <xdr:row>19</xdr:row>
      <xdr:rowOff>19050</xdr:rowOff>
    </xdr:to>
    <xdr:sp macro="" textlink="">
      <xdr:nvSpPr>
        <xdr:cNvPr id="2" name="Notice3">
          <a:extLst>
            <a:ext uri="{FF2B5EF4-FFF2-40B4-BE49-F238E27FC236}">
              <a16:creationId xmlns:a16="http://schemas.microsoft.com/office/drawing/2014/main" id="{00000000-0008-0000-0300-000002000000}"/>
            </a:ext>
          </a:extLst>
        </xdr:cNvPr>
        <xdr:cNvSpPr/>
      </xdr:nvSpPr>
      <xdr:spPr>
        <a:xfrm>
          <a:off x="2676525" y="2286000"/>
          <a:ext cx="5324475" cy="135255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65</xdr:col>
      <xdr:colOff>0</xdr:colOff>
      <xdr:row>9</xdr:row>
      <xdr:rowOff>38100</xdr:rowOff>
    </xdr:from>
    <xdr:to>
      <xdr:col>71</xdr:col>
      <xdr:colOff>0</xdr:colOff>
      <xdr:row>9</xdr:row>
      <xdr:rowOff>175260</xdr:rowOff>
    </xdr:to>
    <xdr:sp macro="" textlink="">
      <xdr:nvSpPr>
        <xdr:cNvPr id="2" name="S_TH_1"/>
        <xdr:cNvSpPr/>
      </xdr:nvSpPr>
      <xdr:spPr>
        <a:xfrm>
          <a:off x="12734925" y="1028700"/>
          <a:ext cx="1485900" cy="137160"/>
        </a:xfrm>
        <a:prstGeom prst="rect">
          <a:avLst/>
        </a:prstGeom>
        <a:solidFill>
          <a:srgbClr val="F0FFDD"/>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65</xdr:col>
      <xdr:colOff>0</xdr:colOff>
      <xdr:row>9</xdr:row>
      <xdr:rowOff>38100</xdr:rowOff>
    </xdr:from>
    <xdr:to>
      <xdr:col>71</xdr:col>
      <xdr:colOff>0</xdr:colOff>
      <xdr:row>9</xdr:row>
      <xdr:rowOff>175260</xdr:rowOff>
    </xdr:to>
    <xdr:sp macro="" textlink="">
      <xdr:nvSpPr>
        <xdr:cNvPr id="4" name="S_TE_E1"/>
        <xdr:cNvSpPr/>
      </xdr:nvSpPr>
      <xdr:spPr>
        <a:xfrm>
          <a:off x="12734925" y="1028700"/>
          <a:ext cx="1485900" cy="137160"/>
        </a:xfrm>
        <a:prstGeom prst="rect">
          <a:avLst/>
        </a:prstGeom>
        <a:solidFill>
          <a:srgbClr val="A8E7FE"/>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65</xdr:col>
      <xdr:colOff>0</xdr:colOff>
      <xdr:row>9</xdr:row>
      <xdr:rowOff>38100</xdr:rowOff>
    </xdr:from>
    <xdr:to>
      <xdr:col>80</xdr:col>
      <xdr:colOff>95250</xdr:colOff>
      <xdr:row>9</xdr:row>
      <xdr:rowOff>175260</xdr:rowOff>
    </xdr:to>
    <xdr:sp macro="" textlink="">
      <xdr:nvSpPr>
        <xdr:cNvPr id="3" name="S_TGB_1"/>
        <xdr:cNvSpPr/>
      </xdr:nvSpPr>
      <xdr:spPr>
        <a:xfrm>
          <a:off x="12734925" y="1028700"/>
          <a:ext cx="3810000" cy="137160"/>
        </a:xfrm>
        <a:prstGeom prst="rect">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b="1">
              <a:solidFill>
                <a:srgbClr val="262626"/>
              </a:solidFill>
            </a:rPr>
            <a:t>Type here or double </a:t>
          </a:r>
        </a:p>
      </xdr:txBody>
    </xdr:sp>
    <xdr:clientData/>
  </xdr:twoCellAnchor>
  <xdr:twoCellAnchor>
    <xdr:from>
      <xdr:col>63</xdr:col>
      <xdr:colOff>0</xdr:colOff>
      <xdr:row>9</xdr:row>
      <xdr:rowOff>0</xdr:rowOff>
    </xdr:from>
    <xdr:to>
      <xdr:col>63</xdr:col>
      <xdr:colOff>1270</xdr:colOff>
      <xdr:row>10</xdr:row>
      <xdr:rowOff>0</xdr:rowOff>
    </xdr:to>
    <xdr:sp macro="" textlink="">
      <xdr:nvSpPr>
        <xdr:cNvPr id="5" name="S_Today_LineLeft"/>
        <xdr:cNvSpPr/>
      </xdr:nvSpPr>
      <xdr:spPr>
        <a:xfrm>
          <a:off x="12239625" y="99060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63</xdr:col>
      <xdr:colOff>234950</xdr:colOff>
      <xdr:row>9</xdr:row>
      <xdr:rowOff>0</xdr:rowOff>
    </xdr:from>
    <xdr:to>
      <xdr:col>63</xdr:col>
      <xdr:colOff>236220</xdr:colOff>
      <xdr:row>10</xdr:row>
      <xdr:rowOff>0</xdr:rowOff>
    </xdr:to>
    <xdr:sp macro="" textlink="">
      <xdr:nvSpPr>
        <xdr:cNvPr id="6" name="S_Today_LineRight"/>
        <xdr:cNvSpPr/>
      </xdr:nvSpPr>
      <xdr:spPr>
        <a:xfrm>
          <a:off x="12474575" y="990600"/>
          <a:ext cx="1270" cy="228600"/>
        </a:xfrm>
        <a:prstGeom prst="rect">
          <a:avLst/>
        </a:prstGeom>
        <a:ln w="1270">
          <a:solidFill>
            <a:srgbClr val="FFCC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111518</xdr:colOff>
      <xdr:row>2</xdr:row>
      <xdr:rowOff>57150</xdr:rowOff>
    </xdr:from>
    <xdr:ext cx="1668981" cy="942975"/>
    <xdr:pic>
      <xdr:nvPicPr>
        <xdr:cNvPr id="2" name="Picture 1">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a:srcRect/>
        <a:stretch/>
      </xdr:blipFill>
      <xdr:spPr>
        <a:xfrm>
          <a:off x="178193" y="123825"/>
          <a:ext cx="1668981" cy="942975"/>
        </a:xfrm>
        <a:prstGeom prst="rect">
          <a:avLst/>
        </a:prstGeom>
      </xdr:spPr>
    </xdr:pic>
    <xdr:clientData/>
  </xdr:oneCellAnchor>
  <xdr:twoCellAnchor editAs="oneCell">
    <xdr:from>
      <xdr:col>4</xdr:col>
      <xdr:colOff>28575</xdr:colOff>
      <xdr:row>13</xdr:row>
      <xdr:rowOff>180975</xdr:rowOff>
    </xdr:from>
    <xdr:to>
      <xdr:col>20</xdr:col>
      <xdr:colOff>9525</xdr:colOff>
      <xdr:row>20</xdr:row>
      <xdr:rowOff>47625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600075" y="2143125"/>
          <a:ext cx="9686925" cy="1200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85725</xdr:colOff>
      <xdr:row>7</xdr:row>
      <xdr:rowOff>161925</xdr:rowOff>
    </xdr:from>
    <xdr:to>
      <xdr:col>9</xdr:col>
      <xdr:colOff>533400</xdr:colOff>
      <xdr:row>16</xdr:row>
      <xdr:rowOff>19050</xdr:rowOff>
    </xdr:to>
    <xdr:sp macro="" textlink="">
      <xdr:nvSpPr>
        <xdr:cNvPr id="2" name="Notice1">
          <a:extLst>
            <a:ext uri="{FF2B5EF4-FFF2-40B4-BE49-F238E27FC236}">
              <a16:creationId xmlns:a16="http://schemas.microsoft.com/office/drawing/2014/main" id="{00000000-0008-0000-0600-000002000000}"/>
            </a:ext>
          </a:extLst>
        </xdr:cNvPr>
        <xdr:cNvSpPr/>
      </xdr:nvSpPr>
      <xdr:spPr>
        <a:xfrm>
          <a:off x="695325" y="1495425"/>
          <a:ext cx="5324475" cy="1571625"/>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FF0000"/>
              </a:solidFill>
            </a:rPr>
            <a:t>Please </a:t>
          </a:r>
          <a:r>
            <a:rPr lang="en-US" sz="2400" b="1">
              <a:solidFill>
                <a:srgbClr val="FF0000"/>
              </a:solidFill>
            </a:rPr>
            <a:t>DO</a:t>
          </a:r>
          <a:r>
            <a:rPr lang="en-US" sz="2400" b="1" baseline="0">
              <a:solidFill>
                <a:srgbClr val="FF0000"/>
              </a:solidFill>
            </a:rPr>
            <a:t> NOT </a:t>
          </a:r>
          <a:r>
            <a:rPr lang="en-US" sz="2400" baseline="0">
              <a:solidFill>
                <a:srgbClr val="FF0000"/>
              </a:solidFill>
            </a:rPr>
            <a:t>delete this worksheet. Deleting this Worksheet will result in errors.</a:t>
          </a:r>
          <a:endParaRPr lang="en-US" sz="2400">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4d" refreshedDate="44416.821233796298" createdVersion="7" refreshedVersion="7" minRefreshableVersion="3" recordCount="4">
  <cacheSource type="worksheet">
    <worksheetSource name="DashboardTable"/>
  </cacheSource>
  <cacheFields count="60">
    <cacheField name="ProjectID" numFmtId="0">
      <sharedItems containsSemiMixedTypes="0" containsString="0" containsNumber="1" containsInteger="1" minValue="1" maxValue="1"/>
    </cacheField>
    <cacheField name="dType" numFmtId="0">
      <sharedItems containsBlank="1" count="7">
        <s v="T"/>
        <m u="1"/>
        <s v="MP" u="1"/>
        <s v="C" u="1"/>
        <s v="dType" u="1"/>
        <s v="M" u="1"/>
        <s v="SP" u="1"/>
      </sharedItems>
    </cacheField>
    <cacheField name="GEType" numFmtId="0">
      <sharedItems count="2">
        <s v="T"/>
        <s v="M" u="1"/>
      </sharedItems>
    </cacheField>
    <cacheField name="TID" numFmtId="0">
      <sharedItems containsSemiMixedTypes="0" containsString="0" containsNumber="1" containsInteger="1" minValue="1" maxValue="4"/>
    </cacheField>
    <cacheField name="Dependency" numFmtId="0">
      <sharedItems containsNonDate="0" containsString="0" containsBlank="1"/>
    </cacheField>
    <cacheField name="Dependents" numFmtId="0">
      <sharedItems containsNonDate="0" containsString="0" containsBlank="1"/>
    </cacheField>
    <cacheField name="StartConstrain" numFmtId="0">
      <sharedItems containsNonDate="0" containsString="0" containsBlank="1"/>
    </cacheField>
    <cacheField name="EndConstrain" numFmtId="0">
      <sharedItems containsNonDate="0" containsString="0" containsBlank="1"/>
    </cacheField>
    <cacheField name="TIL" numFmtId="0">
      <sharedItems containsSemiMixedTypes="0" containsString="0" containsNumber="1" containsInteger="1" minValue="0" maxValue="0"/>
    </cacheField>
    <cacheField name="SS" numFmtId="0">
      <sharedItems containsNonDate="0" containsString="0" containsBlank="1"/>
    </cacheField>
    <cacheField name="TaskIcon" numFmtId="0">
      <sharedItems/>
    </cacheField>
    <cacheField name="WBS" numFmtId="0">
      <sharedItems containsSemiMixedTypes="0" containsString="0" containsNumber="1" containsInteger="1" minValue="1" maxValue="4"/>
    </cacheField>
    <cacheField name="Task" numFmtId="0">
      <sharedItems/>
    </cacheField>
    <cacheField name="Priority" numFmtId="0">
      <sharedItems containsBlank="1" count="4">
        <s v="NORMAL"/>
        <s v="HIGH"/>
        <s v="LOW"/>
        <m u="1"/>
      </sharedItems>
    </cacheField>
    <cacheField name="Status" numFmtId="0">
      <sharedItems containsBlank="1" count="5">
        <s v="Completed"/>
        <s v="InProgress"/>
        <s v="Planned"/>
        <s v="Overdue"/>
        <m u="1"/>
      </sharedItems>
    </cacheField>
    <cacheField name="Resource" numFmtId="0">
      <sharedItems containsNonDate="0" containsBlank="1" count="38">
        <m/>
        <s v="Humfleet Wendy" u="1"/>
        <s v="Unique Drywall" u="1"/>
        <s v="Newton Painting" u="1"/>
        <s v="JR" u="1"/>
        <s v="Olimpia Stucco" u="1"/>
        <s v="Service Tech" u="1"/>
        <s v="Sys Team" u="1"/>
        <s v="BP Banister" u="1"/>
        <s v="Knotty Woodworks" u="1"/>
        <s v="Lopez Wild Dianne" u="1"/>
        <s v="MHC, Cerner" u="1"/>
        <s v="Flash Electrical" u="1"/>
        <s v="Trim Rite Mfg" u="1"/>
        <s v="SS" u="1"/>
        <s v="AC Flooring" u="1"/>
        <s v="Kuschell Andre" u="1"/>
        <s v="Majestic Cab's" u="1"/>
        <s v="Shiley Kayla -Cerner" u="1"/>
        <s v="Derrick G" u="1"/>
        <s v="Marv J" u="1"/>
        <s v="Jim" u="1"/>
        <s v="Derrick G, Brody M" u="1"/>
        <s v="Walworth  Andrea" u="1"/>
        <s v="Pristine - C/tops" u="1"/>
        <s v="Pristine C/tops" u="1"/>
        <s v="King Denise" u="1"/>
        <s v="Client" u="1"/>
        <s v="Morehouse Mitch" u="1"/>
        <s v="Delta Coring" u="1"/>
        <s v="Cerner, MHC" u="1"/>
        <s v="Shiley Kayla -Cerner, Lopez Wild Dianne, Morton Brittany, Rokos John" u="1"/>
        <s v="John" u="1"/>
        <s v="HB" u="1"/>
        <s v="Pristine Surround" u="1"/>
        <s v="T and S" u="1"/>
        <s v="Sys and O&amp;M" u="1"/>
        <s v="MHC" u="1"/>
      </sharedItems>
    </cacheField>
    <cacheField name="ResourceCost" numFmtId="0">
      <sharedItems containsNonDate="0" containsString="0" containsBlank="1"/>
    </cacheField>
    <cacheField name="BSD" numFmtId="0">
      <sharedItems containsNonDate="0" containsString="0" containsBlank="1"/>
    </cacheField>
    <cacheField name="BED" numFmtId="0">
      <sharedItems containsNonDate="0" containsString="0" containsBlank="1"/>
    </cacheField>
    <cacheField name="BD" numFmtId="0">
      <sharedItems containsNonDate="0" containsString="0" containsBlank="1"/>
    </cacheField>
    <cacheField name="ESD" numFmtId="14">
      <sharedItems containsSemiMixedTypes="0" containsNonDate="0" containsDate="1" containsString="0" minDate="2021-08-02T00:00:00" maxDate="2021-08-09T00:00:00"/>
    </cacheField>
    <cacheField name="EED" numFmtId="14">
      <sharedItems containsSemiMixedTypes="0" containsNonDate="0" containsDate="1" containsString="0" minDate="2021-08-05T00:00:00" maxDate="2021-08-21T00:00:00" count="2">
        <d v="2021-08-20T00:00:00"/>
        <d v="2021-08-05T00:00:00"/>
      </sharedItems>
      <fieldGroup par="59" base="21">
        <rangePr groupBy="days" startDate="2021-08-05T00:00:00" endDate="2021-08-21T00:00:00"/>
        <groupItems count="368">
          <s v="&lt;8/5/20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21/2021"/>
        </groupItems>
      </fieldGroup>
    </cacheField>
    <cacheField name="ED" numFmtId="0">
      <sharedItems containsSemiMixedTypes="0" containsString="0" containsNumber="1" containsInteger="1" minValue="4" maxValue="10"/>
    </cacheField>
    <cacheField name="Work" numFmtId="0">
      <sharedItems containsNonDate="0" containsString="0" containsBlank="1"/>
    </cacheField>
    <cacheField name="Done" numFmtId="0">
      <sharedItems containsSemiMixedTypes="0" containsString="0" containsNumber="1" containsInteger="1" minValue="0" maxValue="100"/>
    </cacheField>
    <cacheField name="PercentageCompleted" numFmtId="0">
      <sharedItems containsSemiMixedTypes="0" containsString="0" containsNumber="1" minValue="0" maxValue="1"/>
    </cacheField>
    <cacheField name="ASD" numFmtId="0">
      <sharedItems containsNonDate="0" containsString="0" containsBlank="1"/>
    </cacheField>
    <cacheField name="AED" numFmtId="0">
      <sharedItems containsNonDate="0" containsString="0" containsBlank="1"/>
    </cacheField>
    <cacheField name="AD" numFmtId="0">
      <sharedItems containsNonDate="0" containsString="0" containsBlank="1"/>
    </cacheField>
    <cacheField name="BCS" numFmtId="0">
      <sharedItems containsNonDate="0" containsString="0" containsBlank="1"/>
    </cacheField>
    <cacheField name="ECS" numFmtId="0">
      <sharedItems containsNonDate="0" containsString="0" containsBlank="1"/>
    </cacheField>
    <cacheField name="ACS" numFmtId="0">
      <sharedItems containsNonDate="0" containsString="0" containsBlank="1"/>
    </cacheField>
    <cacheField name="Notes" numFmtId="0">
      <sharedItems containsNonDate="0" containsString="0" containsBlank="1"/>
    </cacheField>
    <cacheField name="TColor" numFmtId="0">
      <sharedItems containsNonDate="0" containsString="0" containsBlank="1"/>
    </cacheField>
    <cacheField name="TPColor" numFmtId="0">
      <sharedItems containsNonDate="0" containsString="0" containsBlank="1"/>
    </cacheField>
    <cacheField name="BLColor" numFmtId="0">
      <sharedItems containsNonDate="0" containsString="0" containsBlank="1"/>
    </cacheField>
    <cacheField name="ACColor" numFmtId="0">
      <sharedItems containsNonDate="0" containsString="0" containsBlank="1"/>
    </cacheField>
    <cacheField name="Custom 1" numFmtId="0">
      <sharedItems containsNonDate="0" containsString="0" containsBlank="1"/>
    </cacheField>
    <cacheField name="Custom 2" numFmtId="0">
      <sharedItems containsNonDate="0" containsString="0" containsBlank="1"/>
    </cacheField>
    <cacheField name="Custom 3" numFmtId="0">
      <sharedItems containsNonDate="0" containsString="0" containsBlank="1"/>
    </cacheField>
    <cacheField name="Custom 4" numFmtId="0">
      <sharedItems containsNonDate="0" containsString="0" containsBlank="1"/>
    </cacheField>
    <cacheField name="Custom 5" numFmtId="0">
      <sharedItems containsNonDate="0" containsString="0" containsBlank="1"/>
    </cacheField>
    <cacheField name="Custom 6" numFmtId="0">
      <sharedItems containsNonDate="0" containsString="0" containsBlank="1"/>
    </cacheField>
    <cacheField name="Custom 7" numFmtId="0">
      <sharedItems containsNonDate="0" containsString="0" containsBlank="1"/>
    </cacheField>
    <cacheField name="Custom 8" numFmtId="0">
      <sharedItems containsNonDate="0" containsString="0" containsBlank="1"/>
    </cacheField>
    <cacheField name="Custom 9" numFmtId="0">
      <sharedItems containsNonDate="0" containsString="0" containsBlank="1"/>
    </cacheField>
    <cacheField name="Custom 10" numFmtId="0">
      <sharedItems containsNonDate="0" containsString="0" containsBlank="1"/>
    </cacheField>
    <cacheField name="Custom 11" numFmtId="0">
      <sharedItems containsNonDate="0" containsString="0" containsBlank="1"/>
    </cacheField>
    <cacheField name="Custom 12" numFmtId="0">
      <sharedItems containsNonDate="0" containsString="0" containsBlank="1"/>
    </cacheField>
    <cacheField name="Custom 13" numFmtId="0">
      <sharedItems containsNonDate="0" containsString="0" containsBlank="1"/>
    </cacheField>
    <cacheField name="Custom 14" numFmtId="0">
      <sharedItems containsNonDate="0" containsString="0" containsBlank="1"/>
    </cacheField>
    <cacheField name="Custom 15" numFmtId="0">
      <sharedItems containsNonDate="0" containsString="0" containsBlank="1"/>
    </cacheField>
    <cacheField name="Custom 16" numFmtId="0">
      <sharedItems containsNonDate="0" containsString="0" containsBlank="1"/>
    </cacheField>
    <cacheField name="Custom 17" numFmtId="0">
      <sharedItems containsNonDate="0" containsString="0" containsBlank="1"/>
    </cacheField>
    <cacheField name="Custom 18" numFmtId="0">
      <sharedItems containsNonDate="0" containsString="0" containsBlank="1"/>
    </cacheField>
    <cacheField name="Custom 19" numFmtId="0">
      <sharedItems containsNonDate="0" containsString="0" containsBlank="1"/>
    </cacheField>
    <cacheField name="Custom 20" numFmtId="0">
      <sharedItems containsNonDate="0" containsString="0" containsBlank="1"/>
    </cacheField>
    <cacheField name="LC" numFmtId="0">
      <sharedItems containsNonDate="0" containsString="0" containsBlank="1"/>
    </cacheField>
    <cacheField name="ProjectFilter" numFmtId="0">
      <sharedItems count="2">
        <b v="1"/>
        <b v="0" u="1"/>
      </sharedItems>
    </cacheField>
    <cacheField name="Months" numFmtId="0" databaseField="0">
      <fieldGroup base="21">
        <rangePr groupBy="months" startDate="2021-08-05T00:00:00" endDate="2021-08-21T00:00:00"/>
        <groupItems count="14">
          <s v="&lt;8/5/2021"/>
          <s v="Jan"/>
          <s v="Feb"/>
          <s v="Mar"/>
          <s v="Apr"/>
          <s v="May"/>
          <s v="Jun"/>
          <s v="Jul"/>
          <s v="Aug"/>
          <s v="Sep"/>
          <s v="Oct"/>
          <s v="Nov"/>
          <s v="Dec"/>
          <s v="&gt;8/21/2021"/>
        </groupItems>
      </fieldGroup>
    </cacheField>
  </cacheFields>
  <extLst>
    <ext xmlns:x14="http://schemas.microsoft.com/office/spreadsheetml/2009/9/main" uri="{725AE2AE-9491-48be-B2B4-4EB974FC3084}">
      <x14:pivotCacheDefinition pivotCacheId="145259762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n v="1"/>
    <x v="0"/>
    <x v="0"/>
    <n v="1"/>
    <m/>
    <m/>
    <m/>
    <m/>
    <n v="0"/>
    <m/>
    <s v="u"/>
    <n v="1"/>
    <s v="Type here or double click to edit in form"/>
    <x v="0"/>
    <x v="0"/>
    <x v="0"/>
    <m/>
    <m/>
    <m/>
    <m/>
    <d v="2021-08-08T00:00:00"/>
    <x v="0"/>
    <n v="10"/>
    <m/>
    <n v="100"/>
    <n v="1"/>
    <m/>
    <m/>
    <m/>
    <m/>
    <m/>
    <m/>
    <m/>
    <m/>
    <m/>
    <m/>
    <m/>
    <m/>
    <m/>
    <m/>
    <m/>
    <m/>
    <m/>
    <m/>
    <m/>
    <m/>
    <m/>
    <m/>
    <m/>
    <m/>
    <m/>
    <m/>
    <m/>
    <m/>
    <m/>
    <m/>
    <m/>
    <m/>
    <x v="0"/>
  </r>
  <r>
    <n v="1"/>
    <x v="0"/>
    <x v="0"/>
    <n v="4"/>
    <m/>
    <m/>
    <m/>
    <m/>
    <n v="0"/>
    <m/>
    <s v="u"/>
    <n v="2"/>
    <s v="Type here or double click to edit in form"/>
    <x v="1"/>
    <x v="1"/>
    <x v="0"/>
    <m/>
    <m/>
    <m/>
    <m/>
    <d v="2021-08-08T00:00:00"/>
    <x v="0"/>
    <n v="10"/>
    <m/>
    <n v="0"/>
    <n v="0.5"/>
    <m/>
    <m/>
    <m/>
    <m/>
    <m/>
    <m/>
    <m/>
    <m/>
    <m/>
    <m/>
    <m/>
    <m/>
    <m/>
    <m/>
    <m/>
    <m/>
    <m/>
    <m/>
    <m/>
    <m/>
    <m/>
    <m/>
    <m/>
    <m/>
    <m/>
    <m/>
    <m/>
    <m/>
    <m/>
    <m/>
    <m/>
    <m/>
    <x v="0"/>
  </r>
  <r>
    <n v="1"/>
    <x v="0"/>
    <x v="0"/>
    <n v="3"/>
    <m/>
    <m/>
    <m/>
    <m/>
    <n v="0"/>
    <m/>
    <s v="u"/>
    <n v="3"/>
    <s v="Type here or double click to edit in form"/>
    <x v="2"/>
    <x v="2"/>
    <x v="0"/>
    <m/>
    <m/>
    <m/>
    <m/>
    <d v="2021-08-08T00:00:00"/>
    <x v="0"/>
    <n v="10"/>
    <m/>
    <n v="0"/>
    <n v="0"/>
    <m/>
    <m/>
    <m/>
    <m/>
    <m/>
    <m/>
    <m/>
    <m/>
    <m/>
    <m/>
    <m/>
    <m/>
    <m/>
    <m/>
    <m/>
    <m/>
    <m/>
    <m/>
    <m/>
    <m/>
    <m/>
    <m/>
    <m/>
    <m/>
    <m/>
    <m/>
    <m/>
    <m/>
    <m/>
    <m/>
    <m/>
    <m/>
    <x v="0"/>
  </r>
  <r>
    <n v="1"/>
    <x v="0"/>
    <x v="0"/>
    <n v="2"/>
    <m/>
    <m/>
    <m/>
    <m/>
    <n v="0"/>
    <m/>
    <s v="u"/>
    <n v="4"/>
    <s v="Type here or double click to edit in form"/>
    <x v="0"/>
    <x v="3"/>
    <x v="0"/>
    <m/>
    <m/>
    <m/>
    <m/>
    <d v="2021-08-02T00:00:00"/>
    <x v="1"/>
    <n v="4"/>
    <m/>
    <n v="0"/>
    <n v="0"/>
    <m/>
    <m/>
    <m/>
    <m/>
    <m/>
    <m/>
    <m/>
    <m/>
    <m/>
    <m/>
    <m/>
    <m/>
    <m/>
    <m/>
    <m/>
    <m/>
    <m/>
    <m/>
    <m/>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T4"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75">
  <location ref="AE4" firstHeaderRow="0" firstDataRow="0" firstDataCol="0" rowPageCount="2" colPageCount="1"/>
  <pivotFields count="60">
    <pivotField showAll="0"/>
    <pivotField showAll="0"/>
    <pivotField axis="axisPage" showAll="0">
      <items count="3">
        <item m="1" x="1"/>
        <item h="1" x="0"/>
        <item t="default"/>
      </items>
    </pivotField>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2"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T2"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9">
  <location ref="K4:L7"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axis="axisRow"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3"/>
  </rowFields>
  <rowItems count="3">
    <i>
      <x/>
    </i>
    <i>
      <x v="1"/>
    </i>
    <i>
      <x v="2"/>
    </i>
  </rowItems>
  <colItems count="1">
    <i/>
  </colItems>
  <pageFields count="2">
    <pageField fld="58" hier="-1"/>
    <pageField fld="1" hier="-1"/>
  </pageFields>
  <dataFields count="1">
    <dataField name="Count of tID" fld="3" subtotal="count" baseField="0" baseItem="0"/>
  </dataFields>
  <chartFormats count="10">
    <chartFormat chart="0" format="4" series="1">
      <pivotArea type="data" outline="0" fieldPosition="0">
        <references count="1">
          <reference field="4294967294" count="1" selected="0">
            <x v="0"/>
          </reference>
        </references>
      </pivotArea>
    </chartFormat>
    <chartFormat chart="2" format="10" series="1">
      <pivotArea type="data" outline="0" fieldPosition="0">
        <references count="1">
          <reference field="4294967294" count="1" selected="0">
            <x v="0"/>
          </reference>
        </references>
      </pivotArea>
    </chartFormat>
    <chartFormat chart="5" format="20" series="1">
      <pivotArea type="data" outline="0" fieldPosition="0">
        <references count="1">
          <reference field="4294967294" count="1" selected="0">
            <x v="0"/>
          </reference>
        </references>
      </pivotArea>
    </chartFormat>
    <chartFormat chart="10" format="13" series="1">
      <pivotArea type="data" outline="0" fieldPosition="0">
        <references count="1">
          <reference field="4294967294" count="1" selected="0">
            <x v="0"/>
          </reference>
        </references>
      </pivotArea>
    </chartFormat>
    <chartFormat chart="10" format="14">
      <pivotArea type="data" outline="0" fieldPosition="0">
        <references count="2">
          <reference field="4294967294" count="1" selected="0">
            <x v="0"/>
          </reference>
          <reference field="13" count="1" selected="0">
            <x v="0"/>
          </reference>
        </references>
      </pivotArea>
    </chartFormat>
    <chartFormat chart="10" format="15">
      <pivotArea type="data" outline="0" fieldPosition="0">
        <references count="2">
          <reference field="4294967294" count="1" selected="0">
            <x v="0"/>
          </reference>
          <reference field="13" count="1" selected="0">
            <x v="1"/>
          </reference>
        </references>
      </pivotArea>
    </chartFormat>
    <chartFormat chart="10" format="16">
      <pivotArea type="data" outline="0" fieldPosition="0">
        <references count="2">
          <reference field="4294967294" count="1" selected="0">
            <x v="0"/>
          </reference>
          <reference field="13" count="1" selected="0">
            <x v="2"/>
          </reference>
        </references>
      </pivotArea>
    </chartFormat>
    <chartFormat chart="10" format="17">
      <pivotArea type="data" outline="0" fieldPosition="0">
        <references count="1">
          <reference field="4294967294" count="1" selected="0">
            <x v="0"/>
          </reference>
        </references>
      </pivotArea>
    </chartFormat>
    <chartFormat chart="166" format="20" series="1">
      <pivotArea type="data" outline="0" fieldPosition="0">
        <references count="1">
          <reference field="4294967294" count="1" selected="0">
            <x v="0"/>
          </reference>
        </references>
      </pivotArea>
    </chartFormat>
    <chartFormat chart="166" format="2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T3"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94">
  <location ref="U4:V7" firstHeaderRow="1" firstDataRow="1" firstDataCol="1" rowPageCount="2" colPageCount="1"/>
  <pivotFields count="60">
    <pivotField showAll="0"/>
    <pivotField axis="axisPage" showAll="0">
      <items count="8">
        <item h="1" m="1" x="3"/>
        <item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i="1">
      <x v="1"/>
    </i>
    <i i="2">
      <x v="2"/>
    </i>
  </rowItems>
  <colItems count="1">
    <i/>
  </colItems>
  <pageFields count="2">
    <pageField fld="58" hier="-1"/>
    <pageField fld="1" hier="-1"/>
  </pageFields>
  <dataFields count="3">
    <dataField name="Baseline Cost" fld="29" baseField="0" baseItem="0" numFmtId="164"/>
    <dataField name="Estimated Cost" fld="30" baseField="0" baseItem="0" numFmtId="164"/>
    <dataField name="Actual Cost" fld="31" baseField="0" baseItem="0" numFmtId="164"/>
  </dataFields>
  <chartFormats count="7">
    <chartFormat chart="16" format="4" series="1">
      <pivotArea type="data" outline="0" fieldPosition="0">
        <references count="1">
          <reference field="4294967294" count="1" selected="0">
            <x v="0"/>
          </reference>
        </references>
      </pivotArea>
    </chartFormat>
    <chartFormat chart="16" format="5">
      <pivotArea type="data" outline="0" fieldPosition="0">
        <references count="1">
          <reference field="4294967294" count="1" selected="0">
            <x v="1"/>
          </reference>
        </references>
      </pivotArea>
    </chartFormat>
    <chartFormat chart="16" format="6">
      <pivotArea type="data" outline="0" fieldPosition="0">
        <references count="1">
          <reference field="4294967294" count="1" selected="0">
            <x v="2"/>
          </reference>
        </references>
      </pivotArea>
    </chartFormat>
    <chartFormat chart="16" format="7">
      <pivotArea type="data" outline="0" fieldPosition="0">
        <references count="1">
          <reference field="4294967294" count="1" selected="0">
            <x v="0"/>
          </reference>
        </references>
      </pivotArea>
    </chartFormat>
    <chartFormat chart="171" format="11" series="1">
      <pivotArea type="data" outline="0" fieldPosition="0">
        <references count="1">
          <reference field="4294967294" count="1" selected="0">
            <x v="0"/>
          </reference>
        </references>
      </pivotArea>
    </chartFormat>
    <chartFormat chart="171" format="12">
      <pivotArea type="data" outline="0" fieldPosition="0">
        <references count="1">
          <reference field="4294967294" count="1" selected="0">
            <x v="0"/>
          </reference>
        </references>
      </pivotArea>
    </chartFormat>
    <chartFormat chart="171" format="13">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T6"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A4:BA5"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axis="axisRow" showAll="0">
      <items count="39">
        <item m="1" x="30"/>
        <item m="1" x="1"/>
        <item m="1" x="26"/>
        <item m="1" x="16"/>
        <item m="1" x="10"/>
        <item m="1" x="37"/>
        <item m="1" x="11"/>
        <item m="1" x="28"/>
        <item m="1" x="18"/>
        <item m="1" x="31"/>
        <item m="1" x="23"/>
        <item x="0"/>
        <item m="1" x="35"/>
        <item m="1" x="33"/>
        <item m="1" x="7"/>
        <item m="1" x="14"/>
        <item m="1" x="27"/>
        <item m="1" x="4"/>
        <item m="1" x="36"/>
        <item m="1" x="22"/>
        <item m="1" x="19"/>
        <item m="1" x="29"/>
        <item m="1" x="20"/>
        <item m="1" x="13"/>
        <item m="1" x="12"/>
        <item m="1" x="6"/>
        <item m="1" x="2"/>
        <item m="1" x="3"/>
        <item m="1" x="17"/>
        <item m="1" x="24"/>
        <item m="1" x="9"/>
        <item m="1" x="8"/>
        <item m="1" x="15"/>
        <item m="1" x="5"/>
        <item m="1" x="32"/>
        <item m="1" x="21"/>
        <item m="1" x="25"/>
        <item m="1" x="34"/>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1">
    <i>
      <x v="11"/>
    </i>
  </rowItems>
  <colItems count="1">
    <i/>
  </colItem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1" cacheId="0"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83">
  <location ref="A4:B8" firstHeaderRow="1" firstDataRow="1" firstDataCol="1" rowPageCount="2" colPageCount="1"/>
  <pivotFields count="60">
    <pivotField showAll="0"/>
    <pivotField axis="axisPage" showAll="0">
      <items count="8">
        <item x="0"/>
        <item h="1" m="1" x="2"/>
        <item m="1" x="3"/>
        <item h="1" m="1" x="6"/>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axis="axisRow"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x="0"/>
        <item x="1"/>
        <item x="2"/>
        <item x="3"/>
        <item x="4"/>
        <item x="5"/>
        <item x="6"/>
        <item x="7"/>
        <item x="8"/>
        <item x="9"/>
        <item x="10"/>
        <item x="11"/>
        <item x="12"/>
        <item x="13"/>
        <item t="default"/>
      </items>
    </pivotField>
  </pivotFields>
  <rowFields count="1">
    <field x="14"/>
  </rowFields>
  <rowItems count="4">
    <i>
      <x/>
    </i>
    <i>
      <x v="1"/>
    </i>
    <i>
      <x v="2"/>
    </i>
    <i>
      <x v="3"/>
    </i>
  </rowItems>
  <colItems count="1">
    <i/>
  </colItems>
  <pageFields count="2">
    <pageField fld="58" hier="-1"/>
    <pageField fld="1" hier="-1"/>
  </pageFields>
  <dataFields count="1">
    <dataField name="Count of tID" fld="3" subtotal="count" baseField="0" baseItem="0"/>
  </dataFields>
  <chartFormats count="11">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14" count="1" selected="0">
            <x v="0"/>
          </reference>
        </references>
      </pivotArea>
    </chartFormat>
    <chartFormat chart="2" format="12">
      <pivotArea type="data" outline="0" fieldPosition="0">
        <references count="2">
          <reference field="4294967294" count="1" selected="0">
            <x v="0"/>
          </reference>
          <reference field="14" count="1" selected="0">
            <x v="1"/>
          </reference>
        </references>
      </pivotArea>
    </chartFormat>
    <chartFormat chart="2" format="13">
      <pivotArea type="data" outline="0" fieldPosition="0">
        <references count="2">
          <reference field="4294967294" count="1" selected="0">
            <x v="0"/>
          </reference>
          <reference field="14" count="1" selected="0">
            <x v="2"/>
          </reference>
        </references>
      </pivotArea>
    </chartFormat>
    <chartFormat chart="2" format="14">
      <pivotArea type="data" outline="0" fieldPosition="0">
        <references count="2">
          <reference field="4294967294" count="1" selected="0">
            <x v="0"/>
          </reference>
          <reference field="14" count="1" selected="0">
            <x v="3"/>
          </reference>
        </references>
      </pivotArea>
    </chartFormat>
    <chartFormat chart="2" format="15">
      <pivotArea type="data" outline="0" fieldPosition="0">
        <references count="1">
          <reference field="4294967294" count="1" selected="0">
            <x v="0"/>
          </reference>
        </references>
      </pivotArea>
    </chartFormat>
    <chartFormat chart="160" format="21" series="1">
      <pivotArea type="data" outline="0" fieldPosition="0">
        <references count="1">
          <reference field="4294967294" count="1" selected="0">
            <x v="0"/>
          </reference>
        </references>
      </pivotArea>
    </chartFormat>
    <chartFormat chart="160" format="22">
      <pivotArea type="data" outline="0" fieldPosition="0">
        <references count="2">
          <reference field="4294967294" count="1" selected="0">
            <x v="0"/>
          </reference>
          <reference field="14" count="1" selected="0">
            <x v="0"/>
          </reference>
        </references>
      </pivotArea>
    </chartFormat>
    <chartFormat chart="160" format="23">
      <pivotArea type="data" outline="0" fieldPosition="0">
        <references count="2">
          <reference field="4294967294" count="1" selected="0">
            <x v="0"/>
          </reference>
          <reference field="14" count="1" selected="0">
            <x v="1"/>
          </reference>
        </references>
      </pivotArea>
    </chartFormat>
    <chartFormat chart="160" format="24">
      <pivotArea type="data" outline="0" fieldPosition="0">
        <references count="2">
          <reference field="4294967294" count="1" selected="0">
            <x v="0"/>
          </reference>
          <reference field="14" count="1" selected="0">
            <x v="2"/>
          </reference>
        </references>
      </pivotArea>
    </chartFormat>
    <chartFormat chart="160" format="25">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5"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AP4:AQ6" firstHeaderRow="1" firstDataRow="1" firstDataCol="1" rowPageCount="2" colPageCount="1"/>
  <pivotFields count="60">
    <pivotField showAll="0"/>
    <pivotField axis="axisPage" showAll="0">
      <items count="8">
        <item m="1" x="3"/>
        <item h="1" m="1" x="2"/>
        <item h="1" m="1" x="6"/>
        <item x="0"/>
        <item h="1" m="1" x="4"/>
        <item h="1" m="1" x="1"/>
        <item h="1" m="1" x="5"/>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axis="axisRow"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1"/>
  </rowFields>
  <rowItems count="2">
    <i>
      <x v="217"/>
    </i>
    <i>
      <x v="232"/>
    </i>
  </rowItems>
  <colItems count="1">
    <i/>
  </colItems>
  <pageFields count="2">
    <pageField fld="58" hier="-1"/>
    <pageField fld="1" hier="-1"/>
  </pageFields>
  <dataFields count="1">
    <dataField name="Count of tID" fld="3"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8"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T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7" cacheId="0" dataOnRows="1" applyNumberFormats="0" applyBorderFormats="0" applyFontFormats="0" applyPatternFormats="0" applyAlignmentFormats="0" applyWidthHeightFormats="1" dataCaption="Values" updatedVersion="7" minRefreshableVersion="5" useAutoFormatting="1" rowGrandTotals="0" colGrandTotals="0" itemPrintTitles="1" createdVersion="7" indent="0" outline="1" outlineData="1" multipleFieldFilters="0" chartFormat="138">
  <location ref="BK4" firstHeaderRow="0" firstDataRow="0" firstDataCol="0" rowPageCount="2" colPageCount="1"/>
  <pivotFields count="60">
    <pivotField showAll="0"/>
    <pivotField axis="axisPage" showAll="0">
      <items count="8">
        <item m="1" x="3"/>
        <item h="1" m="1" x="2"/>
        <item h="1" m="1" x="6"/>
        <item x="0"/>
        <item h="1" m="1" x="4"/>
        <item h="1" m="1" x="1"/>
        <item h="1" m="1" x="5"/>
        <item t="default"/>
      </items>
    </pivotField>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m="1" x="3"/>
        <item t="default"/>
      </items>
    </pivotField>
    <pivotField showAll="0">
      <items count="6">
        <item x="0"/>
        <item x="1"/>
        <item x="3"/>
        <item x="2"/>
        <item m="1" x="4"/>
        <item t="default"/>
      </items>
    </pivotField>
    <pivotField showAll="0">
      <items count="39">
        <item m="1" x="15"/>
        <item m="1" x="8"/>
        <item m="1" x="30"/>
        <item m="1" x="27"/>
        <item m="1" x="29"/>
        <item m="1" x="19"/>
        <item m="1" x="22"/>
        <item m="1" x="12"/>
        <item m="1" x="33"/>
        <item m="1" x="1"/>
        <item m="1" x="21"/>
        <item m="1" x="32"/>
        <item m="1" x="4"/>
        <item m="1" x="26"/>
        <item m="1" x="9"/>
        <item m="1" x="16"/>
        <item m="1" x="10"/>
        <item m="1" x="17"/>
        <item m="1" x="20"/>
        <item m="1" x="37"/>
        <item m="1" x="11"/>
        <item m="1" x="28"/>
        <item m="1" x="3"/>
        <item m="1" x="5"/>
        <item m="1" x="24"/>
        <item m="1" x="25"/>
        <item m="1" x="34"/>
        <item m="1" x="6"/>
        <item m="1" x="18"/>
        <item m="1" x="31"/>
        <item m="1" x="14"/>
        <item m="1" x="36"/>
        <item m="1" x="7"/>
        <item m="1" x="35"/>
        <item m="1" x="13"/>
        <item m="1" x="2"/>
        <item m="1" x="23"/>
        <item x="0"/>
        <item t="default"/>
      </items>
    </pivotField>
    <pivotField showAll="0"/>
    <pivotField showAll="0"/>
    <pivotField showAll="0"/>
    <pivotField showAll="0"/>
    <pivotField numFmtId="14" showAll="0"/>
    <pivotField numFmtId="14"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h="1" m="1" x="1"/>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pageFields count="2">
    <pageField fld="58" hier="-1"/>
    <pageField fld="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iority" sourceName="Priority">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4">
        <i x="1" s="1"/>
        <i x="2" s="1"/>
        <i x="0"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tatus" sourceName="Status">
  <pivotTables>
    <pivotTable tabId="89" name="PT1"/>
    <pivotTable tabId="89" name="PT2"/>
    <pivotTable tabId="89" name="PT3"/>
    <pivotTable tabId="89" name="PT4"/>
    <pivotTable tabId="89" name="PT5"/>
    <pivotTable tabId="89" name="PT6"/>
    <pivotTable tabId="89" name="PT7"/>
    <pivotTable tabId="89" name="PT8"/>
  </pivotTables>
  <data>
    <tabular pivotCacheId="1452597621">
      <items count="5">
        <i x="0" s="1"/>
        <i x="1" s="1"/>
        <i x="3" s="1"/>
        <i x="2" s="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Resource" sourceName="Resource">
  <pivotTables>
    <pivotTable tabId="89" name="PT6"/>
    <pivotTable tabId="89" name="PT1"/>
    <pivotTable tabId="89" name="PT2"/>
    <pivotTable tabId="89" name="PT3"/>
    <pivotTable tabId="89" name="PT4"/>
    <pivotTable tabId="89" name="PT5"/>
    <pivotTable tabId="89" name="PT7"/>
    <pivotTable tabId="89" name="PT8"/>
  </pivotTables>
  <data>
    <tabular pivotCacheId="1452597621">
      <items count="38">
        <i x="0" s="1"/>
        <i x="15" s="1" nd="1"/>
        <i x="8" s="1" nd="1"/>
        <i x="30" s="1" nd="1"/>
        <i x="27" s="1" nd="1"/>
        <i x="29" s="1" nd="1"/>
        <i x="19" s="1" nd="1"/>
        <i x="22" s="1" nd="1"/>
        <i x="12" s="1" nd="1"/>
        <i x="33" s="1" nd="1"/>
        <i x="1" s="1" nd="1"/>
        <i x="21" s="1" nd="1"/>
        <i x="32" s="1" nd="1"/>
        <i x="4" s="1" nd="1"/>
        <i x="26" s="1" nd="1"/>
        <i x="9" s="1" nd="1"/>
        <i x="16" s="1" nd="1"/>
        <i x="10" s="1" nd="1"/>
        <i x="17" s="1" nd="1"/>
        <i x="20" s="1" nd="1"/>
        <i x="37" s="1" nd="1"/>
        <i x="11" s="1" nd="1"/>
        <i x="28" s="1" nd="1"/>
        <i x="3" s="1" nd="1"/>
        <i x="5" s="1" nd="1"/>
        <i x="24" s="1" nd="1"/>
        <i x="25" s="1" nd="1"/>
        <i x="34" s="1" nd="1"/>
        <i x="6" s="1" nd="1"/>
        <i x="18" s="1" nd="1"/>
        <i x="31" s="1" nd="1"/>
        <i x="14" s="1" nd="1"/>
        <i x="36" s="1" nd="1"/>
        <i x="7" s="1" nd="1"/>
        <i x="35" s="1" nd="1"/>
        <i x="13" s="1" nd="1"/>
        <i x="2" s="1" nd="1"/>
        <i x="2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iority" cache="Slicer_Priority" caption="Priority" style="SlicerStyleLight2" rowHeight="241300"/>
  <slicer name="Status" cache="Slicer_Status" caption="Status" style="SlicerStyleLight6" rowHeight="241300"/>
  <slicer name="Resource" cache="Slicer_Resource" caption="Resource" style="SlicerStyleLight4" rowHeight="241300"/>
</slicers>
</file>

<file path=xl/tables/table1.xml><?xml version="1.0" encoding="utf-8"?>
<table xmlns="http://schemas.openxmlformats.org/spreadsheetml/2006/main" id="2" name="DashboardTable" displayName="DashboardTable" ref="A1:BG5" totalsRowShown="0">
  <autoFilter ref="A1:BG5"/>
  <tableColumns count="59">
    <tableColumn id="1" name="ProjectID"/>
    <tableColumn id="2" name="dType"/>
    <tableColumn id="3" name="GEType"/>
    <tableColumn id="4" name="TID"/>
    <tableColumn id="5" name="Dependency"/>
    <tableColumn id="6" name="Dependents"/>
    <tableColumn id="7" name="StartConstrain"/>
    <tableColumn id="8" name="EndConstrain"/>
    <tableColumn id="9" name="TIL"/>
    <tableColumn id="10" name="SS"/>
    <tableColumn id="11" name="TaskIcon"/>
    <tableColumn id="12" name="WBS"/>
    <tableColumn id="13" name="Task"/>
    <tableColumn id="14" name="Priority"/>
    <tableColumn id="15" name="Status"/>
    <tableColumn id="16" name="Resource"/>
    <tableColumn id="17" name="ResourceCost"/>
    <tableColumn id="18" name="BSD"/>
    <tableColumn id="19" name="BED"/>
    <tableColumn id="20" name="BD"/>
    <tableColumn id="21" name="ESD" dataDxfId="2"/>
    <tableColumn id="22" name="EED" dataDxfId="1"/>
    <tableColumn id="23" name="ED"/>
    <tableColumn id="24" name="Work"/>
    <tableColumn id="25" name="Done"/>
    <tableColumn id="26" name="PercentageCompleted"/>
    <tableColumn id="27" name="ASD"/>
    <tableColumn id="28" name="AED"/>
    <tableColumn id="29" name="AD"/>
    <tableColumn id="30" name="BCS"/>
    <tableColumn id="31" name="ECS"/>
    <tableColumn id="32" name="ACS"/>
    <tableColumn id="33" name="Notes"/>
    <tableColumn id="34" name="TColor"/>
    <tableColumn id="35" name="TPColor"/>
    <tableColumn id="36" name="BLColor"/>
    <tableColumn id="37" name="ACColor"/>
    <tableColumn id="38" name="Custom 1"/>
    <tableColumn id="39" name="Custom 2"/>
    <tableColumn id="40" name="Custom 3"/>
    <tableColumn id="41" name="Custom 4"/>
    <tableColumn id="42" name="Custom 5"/>
    <tableColumn id="43" name="Custom 6"/>
    <tableColumn id="44" name="Custom 7"/>
    <tableColumn id="45" name="Custom 8"/>
    <tableColumn id="46" name="Custom 9"/>
    <tableColumn id="47" name="Custom 10"/>
    <tableColumn id="48" name="Custom 11"/>
    <tableColumn id="49" name="Custom 12"/>
    <tableColumn id="50" name="Custom 13"/>
    <tableColumn id="51" name="Custom 14"/>
    <tableColumn id="52" name="Custom 15"/>
    <tableColumn id="53" name="Custom 16"/>
    <tableColumn id="54" name="Custom 17"/>
    <tableColumn id="55" name="Custom 18"/>
    <tableColumn id="56" name="Custom 19"/>
    <tableColumn id="57" name="Custom 20"/>
    <tableColumn id="58" name="LC"/>
    <tableColumn id="59" name="ProjectFilter">
      <calculatedColumnFormula>DashboardTable[[#This Row],[ProjectID]]=#REF!</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NativeTimeline_EED" sourceName="EED">
  <pivotTables>
    <pivotTable tabId="89" name="PT1"/>
    <pivotTable tabId="89" name="PT2"/>
    <pivotTable tabId="89" name="PT3"/>
    <pivotTable tabId="89" name="PT4"/>
    <pivotTable tabId="89" name="PT5"/>
    <pivotTable tabId="89" name="PT6"/>
    <pivotTable tabId="89" name="PT7"/>
    <pivotTable tabId="89" name="PT8"/>
  </pivotTables>
  <state minimalRefreshVersion="6" lastRefreshVersion="6" pivotCacheId="1452597621" filterType="unknown">
    <bounds startDate="2021-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EED 2" cache="NativeTimeline_EED" caption="Task Due Date" level="2" selectionLevel="2" scrollPosition="2021-01-01T00:00:00" style="TimeSlicerStyleLight6"/>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microsoft.com/office/2011/relationships/timeline" Target="../timelines/timeline1.xml"/><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hyperlink" Target="https://www.ganttexcel.com/documentation/?utm_source=xlc&amp;utm_medium=9031419786979019629490109259235292593497" TargetMode="External"/><Relationship Id="rId2" Type="http://schemas.openxmlformats.org/officeDocument/2006/relationships/hyperlink" Target="https://www.ganttexcel.com/documentation/?utm_source=xlc&amp;utm_medium=9031419786979019629490109259235292593497" TargetMode="External"/><Relationship Id="rId1" Type="http://schemas.openxmlformats.org/officeDocument/2006/relationships/hyperlink" Target="https://www.ganttexcel.com/documentation/enable-macros/?utm_source=xlc&amp;utm_medium=9031419786979019629490109259235292593497" TargetMode="External"/><Relationship Id="rId5" Type="http://schemas.openxmlformats.org/officeDocument/2006/relationships/drawing" Target="../drawings/drawing6.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DD"/>
  <dimension ref="A1:BG5"/>
  <sheetViews>
    <sheetView workbookViewId="0">
      <selection activeCell="B33" sqref="B33"/>
    </sheetView>
  </sheetViews>
  <sheetFormatPr defaultRowHeight="15" x14ac:dyDescent="0.25"/>
  <cols>
    <col min="1" max="4" width="12.85546875" customWidth="1"/>
    <col min="5" max="5" width="15" customWidth="1"/>
    <col min="6" max="6" width="14.7109375" customWidth="1"/>
    <col min="7" max="7" width="16.42578125" customWidth="1"/>
    <col min="8" max="8" width="15.5703125" customWidth="1"/>
    <col min="9" max="16" width="12.85546875" customWidth="1"/>
    <col min="17" max="17" width="15.140625" customWidth="1"/>
    <col min="18" max="23" width="12.85546875" customWidth="1"/>
    <col min="24" max="24" width="13" customWidth="1"/>
    <col min="25" max="26" width="23" customWidth="1"/>
    <col min="27" max="57" width="12.85546875" customWidth="1"/>
    <col min="58" max="61" width="11" customWidth="1"/>
  </cols>
  <sheetData>
    <row r="1" spans="1:59" x14ac:dyDescent="0.25">
      <c r="A1" t="s">
        <v>170</v>
      </c>
      <c r="B1" t="s">
        <v>171</v>
      </c>
      <c r="C1" t="s">
        <v>234</v>
      </c>
      <c r="D1" t="s">
        <v>226</v>
      </c>
      <c r="E1" t="s">
        <v>227</v>
      </c>
      <c r="F1" t="s">
        <v>228</v>
      </c>
      <c r="G1" t="s">
        <v>229</v>
      </c>
      <c r="H1" t="s">
        <v>230</v>
      </c>
      <c r="I1" t="s">
        <v>160</v>
      </c>
      <c r="J1" t="s">
        <v>161</v>
      </c>
      <c r="K1" t="s">
        <v>231</v>
      </c>
      <c r="L1" t="s">
        <v>27</v>
      </c>
      <c r="M1" t="s">
        <v>26</v>
      </c>
      <c r="N1" t="s">
        <v>137</v>
      </c>
      <c r="O1" t="s">
        <v>138</v>
      </c>
      <c r="P1" t="s">
        <v>225</v>
      </c>
      <c r="Q1" t="s">
        <v>232</v>
      </c>
      <c r="R1" t="s">
        <v>25</v>
      </c>
      <c r="S1" t="s">
        <v>24</v>
      </c>
      <c r="T1" t="s">
        <v>23</v>
      </c>
      <c r="U1" t="s">
        <v>22</v>
      </c>
      <c r="V1" t="s">
        <v>20</v>
      </c>
      <c r="W1" t="s">
        <v>18</v>
      </c>
      <c r="X1" t="s">
        <v>223</v>
      </c>
      <c r="Y1" t="s">
        <v>233</v>
      </c>
      <c r="Z1" t="s">
        <v>17</v>
      </c>
      <c r="AA1" t="s">
        <v>21</v>
      </c>
      <c r="AB1" t="s">
        <v>19</v>
      </c>
      <c r="AC1" t="s">
        <v>16</v>
      </c>
      <c r="AD1" t="s">
        <v>15</v>
      </c>
      <c r="AE1" t="s">
        <v>14</v>
      </c>
      <c r="AF1" t="s">
        <v>13</v>
      </c>
      <c r="AG1" t="s">
        <v>12</v>
      </c>
      <c r="AH1" t="s">
        <v>162</v>
      </c>
      <c r="AI1" t="s">
        <v>163</v>
      </c>
      <c r="AJ1" t="s">
        <v>164</v>
      </c>
      <c r="AK1" t="s">
        <v>165</v>
      </c>
      <c r="AL1" t="s">
        <v>172</v>
      </c>
      <c r="AM1" t="s">
        <v>173</v>
      </c>
      <c r="AN1" t="s">
        <v>174</v>
      </c>
      <c r="AO1" t="s">
        <v>175</v>
      </c>
      <c r="AP1" t="s">
        <v>176</v>
      </c>
      <c r="AQ1" t="s">
        <v>177</v>
      </c>
      <c r="AR1" t="s">
        <v>178</v>
      </c>
      <c r="AS1" t="s">
        <v>179</v>
      </c>
      <c r="AT1" t="s">
        <v>180</v>
      </c>
      <c r="AU1" t="s">
        <v>181</v>
      </c>
      <c r="AV1" t="s">
        <v>182</v>
      </c>
      <c r="AW1" t="s">
        <v>183</v>
      </c>
      <c r="AX1" t="s">
        <v>184</v>
      </c>
      <c r="AY1" t="s">
        <v>185</v>
      </c>
      <c r="AZ1" t="s">
        <v>186</v>
      </c>
      <c r="BA1" t="s">
        <v>187</v>
      </c>
      <c r="BB1" t="s">
        <v>188</v>
      </c>
      <c r="BC1" t="s">
        <v>189</v>
      </c>
      <c r="BD1" t="s">
        <v>190</v>
      </c>
      <c r="BE1" t="s">
        <v>191</v>
      </c>
      <c r="BF1" t="s">
        <v>166</v>
      </c>
      <c r="BG1" s="130" t="s">
        <v>215</v>
      </c>
    </row>
    <row r="2" spans="1:59" x14ac:dyDescent="0.25">
      <c r="A2">
        <v>1</v>
      </c>
      <c r="B2" t="s">
        <v>167</v>
      </c>
      <c r="C2" t="s">
        <v>167</v>
      </c>
      <c r="D2">
        <v>1</v>
      </c>
      <c r="I2">
        <v>0</v>
      </c>
      <c r="K2" t="s">
        <v>169</v>
      </c>
      <c r="L2">
        <v>1</v>
      </c>
      <c r="M2" t="s">
        <v>243</v>
      </c>
      <c r="N2" t="s">
        <v>168</v>
      </c>
      <c r="O2" t="s">
        <v>56</v>
      </c>
      <c r="U2" s="89">
        <v>44416</v>
      </c>
      <c r="V2" s="89">
        <v>44428</v>
      </c>
      <c r="W2">
        <v>10</v>
      </c>
      <c r="Y2">
        <v>100</v>
      </c>
      <c r="Z2">
        <v>1</v>
      </c>
      <c r="BG2" s="130" t="e">
        <f>DashboardTable[[#This Row],[ProjectID]]=#REF!</f>
        <v>#REF!</v>
      </c>
    </row>
    <row r="3" spans="1:59" x14ac:dyDescent="0.25">
      <c r="A3">
        <v>1</v>
      </c>
      <c r="B3" t="s">
        <v>167</v>
      </c>
      <c r="C3" t="s">
        <v>167</v>
      </c>
      <c r="D3">
        <v>4</v>
      </c>
      <c r="I3">
        <v>0</v>
      </c>
      <c r="K3" t="s">
        <v>169</v>
      </c>
      <c r="L3">
        <v>2</v>
      </c>
      <c r="M3" t="s">
        <v>243</v>
      </c>
      <c r="N3" t="s">
        <v>237</v>
      </c>
      <c r="O3" t="s">
        <v>244</v>
      </c>
      <c r="U3" s="89">
        <v>44416</v>
      </c>
      <c r="V3" s="89">
        <v>44428</v>
      </c>
      <c r="W3">
        <v>10</v>
      </c>
      <c r="Y3">
        <v>0</v>
      </c>
      <c r="Z3">
        <v>0.5</v>
      </c>
      <c r="BG3" s="130" t="e">
        <f>DashboardTable[[#This Row],[ProjectID]]=#REF!</f>
        <v>#REF!</v>
      </c>
    </row>
    <row r="4" spans="1:59" x14ac:dyDescent="0.25">
      <c r="A4">
        <v>1</v>
      </c>
      <c r="B4" t="s">
        <v>167</v>
      </c>
      <c r="C4" t="s">
        <v>167</v>
      </c>
      <c r="D4">
        <v>3</v>
      </c>
      <c r="I4">
        <v>0</v>
      </c>
      <c r="K4" t="s">
        <v>169</v>
      </c>
      <c r="L4">
        <v>3</v>
      </c>
      <c r="M4" t="s">
        <v>243</v>
      </c>
      <c r="N4" t="s">
        <v>236</v>
      </c>
      <c r="O4" t="s">
        <v>58</v>
      </c>
      <c r="U4" s="89">
        <v>44416</v>
      </c>
      <c r="V4" s="89">
        <v>44428</v>
      </c>
      <c r="W4">
        <v>10</v>
      </c>
      <c r="Y4">
        <v>0</v>
      </c>
      <c r="Z4">
        <v>0</v>
      </c>
      <c r="BG4" s="130" t="e">
        <f>DashboardTable[[#This Row],[ProjectID]]=#REF!</f>
        <v>#REF!</v>
      </c>
    </row>
    <row r="5" spans="1:59" x14ac:dyDescent="0.25">
      <c r="A5">
        <v>1</v>
      </c>
      <c r="B5" t="s">
        <v>167</v>
      </c>
      <c r="C5" t="s">
        <v>167</v>
      </c>
      <c r="D5">
        <v>2</v>
      </c>
      <c r="I5">
        <v>0</v>
      </c>
      <c r="K5" t="s">
        <v>169</v>
      </c>
      <c r="L5">
        <v>4</v>
      </c>
      <c r="M5" t="s">
        <v>243</v>
      </c>
      <c r="N5" t="s">
        <v>168</v>
      </c>
      <c r="O5" t="s">
        <v>59</v>
      </c>
      <c r="U5" s="89">
        <v>44410</v>
      </c>
      <c r="V5" s="89">
        <v>44413</v>
      </c>
      <c r="W5">
        <v>4</v>
      </c>
      <c r="Y5">
        <v>0</v>
      </c>
      <c r="Z5">
        <v>0</v>
      </c>
      <c r="BG5" s="130" t="e">
        <f>DashboardTable[[#This Row],[ProjectID]]=#REF!</f>
        <v>#REF!</v>
      </c>
    </row>
  </sheetData>
  <phoneticPr fontId="24"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ST"/>
  <dimension ref="A1:LW10"/>
  <sheetViews>
    <sheetView workbookViewId="0">
      <selection activeCell="G26" sqref="G26"/>
    </sheetView>
  </sheetViews>
  <sheetFormatPr defaultColWidth="9.140625" defaultRowHeight="15" x14ac:dyDescent="0.25"/>
  <cols>
    <col min="1" max="1" width="9.140625" style="52"/>
    <col min="2" max="2" width="9.140625" style="63"/>
    <col min="3" max="11" width="9.140625" style="52"/>
    <col min="12" max="12" width="14.85546875" style="87" customWidth="1"/>
    <col min="13" max="13" width="14.85546875" style="88" customWidth="1"/>
    <col min="14" max="14" width="12.85546875" style="52" customWidth="1"/>
    <col min="15" max="19" width="9.140625" style="52"/>
    <col min="20" max="20" width="12.7109375" style="52" customWidth="1"/>
    <col min="21" max="27" width="9.140625" style="52"/>
    <col min="28" max="28" width="19.7109375" style="52" customWidth="1"/>
    <col min="29" max="45" width="9.140625" style="52"/>
    <col min="46" max="46" width="9.140625" style="88"/>
    <col min="47" max="64" width="9.140625" style="52"/>
    <col min="65" max="65" width="9.140625" style="57"/>
    <col min="66" max="71" width="9.140625" style="60"/>
    <col min="72" max="102" width="9.140625" style="52"/>
    <col min="103" max="103" width="9.140625" style="62"/>
    <col min="104" max="313" width="9.140625" style="52"/>
    <col min="314" max="325" width="9.140625" style="62"/>
    <col min="326" max="16384" width="9.140625" style="52"/>
  </cols>
  <sheetData>
    <row r="1" spans="1:335" x14ac:dyDescent="0.25">
      <c r="A1" s="11" t="s">
        <v>132</v>
      </c>
      <c r="B1" s="11" t="s">
        <v>146</v>
      </c>
      <c r="C1" s="9" t="s">
        <v>42</v>
      </c>
      <c r="D1" s="9" t="s">
        <v>62</v>
      </c>
      <c r="E1" s="9" t="s">
        <v>45</v>
      </c>
      <c r="F1" s="9" t="s">
        <v>53</v>
      </c>
      <c r="G1" s="9" t="s">
        <v>4</v>
      </c>
      <c r="H1" s="9" t="s">
        <v>6</v>
      </c>
      <c r="I1" s="9" t="s">
        <v>55</v>
      </c>
      <c r="J1" s="9" t="s">
        <v>54</v>
      </c>
      <c r="K1" s="9" t="s">
        <v>71</v>
      </c>
      <c r="L1" s="9" t="s">
        <v>148</v>
      </c>
      <c r="M1" s="9" t="s">
        <v>149</v>
      </c>
      <c r="N1" s="9" t="s">
        <v>64</v>
      </c>
      <c r="O1" s="9" t="s">
        <v>65</v>
      </c>
      <c r="P1" s="9" t="s">
        <v>51</v>
      </c>
      <c r="Q1" s="9" t="s">
        <v>50</v>
      </c>
      <c r="R1" s="9" t="s">
        <v>49</v>
      </c>
      <c r="S1" s="9" t="s">
        <v>48</v>
      </c>
      <c r="T1" s="9" t="s">
        <v>120</v>
      </c>
      <c r="U1" s="9" t="s">
        <v>121</v>
      </c>
      <c r="V1" s="9" t="s">
        <v>122</v>
      </c>
      <c r="W1" s="9" t="s">
        <v>123</v>
      </c>
      <c r="X1" s="9" t="s">
        <v>124</v>
      </c>
      <c r="Y1" s="9" t="s">
        <v>41</v>
      </c>
      <c r="Z1" s="9" t="s">
        <v>40</v>
      </c>
      <c r="AA1" s="9" t="s">
        <v>43</v>
      </c>
      <c r="AB1" s="9" t="s">
        <v>135</v>
      </c>
      <c r="AC1" s="9" t="s">
        <v>52</v>
      </c>
      <c r="AD1" s="9" t="s">
        <v>47</v>
      </c>
      <c r="AE1" s="9" t="s">
        <v>36</v>
      </c>
      <c r="AF1" s="9" t="s">
        <v>35</v>
      </c>
      <c r="AG1" s="9" t="s">
        <v>34</v>
      </c>
      <c r="AH1" s="9" t="s">
        <v>33</v>
      </c>
      <c r="AI1" s="9" t="s">
        <v>32</v>
      </c>
      <c r="AJ1" s="9" t="s">
        <v>31</v>
      </c>
      <c r="AK1" s="9" t="s">
        <v>30</v>
      </c>
      <c r="AL1" s="9" t="s">
        <v>66</v>
      </c>
      <c r="AM1" s="9" t="s">
        <v>67</v>
      </c>
      <c r="AN1" s="9"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9" t="s">
        <v>100</v>
      </c>
      <c r="BV1" s="9" t="s">
        <v>101</v>
      </c>
      <c r="BW1" s="9" t="s">
        <v>102</v>
      </c>
      <c r="BX1" s="9" t="s">
        <v>103</v>
      </c>
      <c r="BY1" s="9" t="s">
        <v>104</v>
      </c>
      <c r="BZ1" s="9" t="s">
        <v>105</v>
      </c>
      <c r="CA1" s="9" t="s">
        <v>106</v>
      </c>
      <c r="CB1" s="9" t="s">
        <v>107</v>
      </c>
      <c r="CC1" s="9" t="s">
        <v>108</v>
      </c>
      <c r="CD1" s="9" t="s">
        <v>109</v>
      </c>
      <c r="CE1" s="9" t="s">
        <v>110</v>
      </c>
      <c r="CF1" s="9" t="s">
        <v>112</v>
      </c>
      <c r="CG1" s="9" t="s">
        <v>111</v>
      </c>
      <c r="CH1" s="9" t="s">
        <v>115</v>
      </c>
      <c r="CI1" s="9" t="s">
        <v>117</v>
      </c>
      <c r="CJ1" s="9" t="s">
        <v>118</v>
      </c>
      <c r="CK1" s="9" t="s">
        <v>119</v>
      </c>
      <c r="CL1" s="9" t="s">
        <v>109</v>
      </c>
      <c r="CM1" s="9" t="s">
        <v>110</v>
      </c>
      <c r="CN1" s="9" t="s">
        <v>112</v>
      </c>
      <c r="CO1" s="9" t="s">
        <v>111</v>
      </c>
      <c r="CP1" s="9" t="s">
        <v>115</v>
      </c>
      <c r="CQ1" s="9" t="s">
        <v>117</v>
      </c>
      <c r="CR1" s="9" t="s">
        <v>118</v>
      </c>
      <c r="CS1" s="9" t="s">
        <v>119</v>
      </c>
      <c r="CT1" s="12" t="s">
        <v>133</v>
      </c>
      <c r="CU1" s="12" t="s">
        <v>128</v>
      </c>
      <c r="CV1" s="12" t="s">
        <v>134</v>
      </c>
      <c r="CW1" s="12" t="s">
        <v>131</v>
      </c>
      <c r="CX1" s="12" t="s">
        <v>130</v>
      </c>
      <c r="CY1" s="12" t="s">
        <v>147</v>
      </c>
      <c r="CZ1" s="12" t="s">
        <v>155</v>
      </c>
      <c r="DA1" s="12" t="s">
        <v>154</v>
      </c>
      <c r="DB1" s="12" t="s">
        <v>153</v>
      </c>
      <c r="DC1" s="12" t="s">
        <v>152</v>
      </c>
      <c r="DD1" s="12" t="s">
        <v>159</v>
      </c>
      <c r="LO1" s="12" t="s">
        <v>46</v>
      </c>
      <c r="LP1" s="12" t="s">
        <v>44</v>
      </c>
      <c r="LQ1" s="12" t="s">
        <v>39</v>
      </c>
      <c r="LR1" s="12" t="s">
        <v>38</v>
      </c>
      <c r="LS1" s="12" t="s">
        <v>37</v>
      </c>
      <c r="LT1" s="12" t="s">
        <v>60</v>
      </c>
      <c r="LU1" s="12" t="s">
        <v>61</v>
      </c>
      <c r="LV1" s="12" t="s">
        <v>72</v>
      </c>
      <c r="LW1" s="12"/>
    </row>
    <row r="2" spans="1:335" x14ac:dyDescent="0.25">
      <c r="A2" s="10" t="s">
        <v>113</v>
      </c>
      <c r="B2" s="10">
        <v>1</v>
      </c>
      <c r="C2" s="9" t="s">
        <v>28</v>
      </c>
      <c r="D2" s="9" t="s">
        <v>63</v>
      </c>
      <c r="E2" s="9" t="b">
        <v>1</v>
      </c>
      <c r="F2" s="13" t="s">
        <v>8</v>
      </c>
      <c r="G2" s="14">
        <v>20000</v>
      </c>
      <c r="H2" s="14">
        <v>10000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9" t="b">
        <v>1</v>
      </c>
      <c r="Z2" s="9" t="b">
        <v>0</v>
      </c>
      <c r="AA2" s="9">
        <v>0</v>
      </c>
      <c r="AB2" s="13">
        <v>1</v>
      </c>
      <c r="AC2" s="13" t="s">
        <v>29</v>
      </c>
      <c r="AD2" s="13">
        <v>1</v>
      </c>
      <c r="AE2" s="9" t="b">
        <v>0</v>
      </c>
      <c r="AF2" s="9">
        <v>20</v>
      </c>
      <c r="AG2" s="51" t="s">
        <v>127</v>
      </c>
      <c r="AH2" s="9" t="s">
        <v>26</v>
      </c>
      <c r="AI2" s="9" t="b">
        <v>1</v>
      </c>
      <c r="AJ2" s="9" t="b">
        <v>0</v>
      </c>
      <c r="AK2" s="9" t="b">
        <v>0</v>
      </c>
      <c r="AL2" s="9" t="s">
        <v>68</v>
      </c>
      <c r="AM2" s="9" t="s">
        <v>69</v>
      </c>
      <c r="AN2" s="9"/>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10">
        <v>56</v>
      </c>
      <c r="BU2" s="27">
        <v>35</v>
      </c>
      <c r="BV2" s="9">
        <v>6</v>
      </c>
      <c r="BW2" s="9">
        <v>2</v>
      </c>
      <c r="BX2" s="9">
        <v>2</v>
      </c>
      <c r="BY2" s="9">
        <v>3</v>
      </c>
      <c r="BZ2" s="9">
        <v>2</v>
      </c>
      <c r="CA2" s="9">
        <v>3</v>
      </c>
      <c r="CB2" s="9">
        <v>3</v>
      </c>
      <c r="CC2" s="9">
        <v>6</v>
      </c>
      <c r="CD2" s="9">
        <v>8</v>
      </c>
      <c r="CE2" s="9">
        <v>10</v>
      </c>
      <c r="CF2" s="9">
        <v>12</v>
      </c>
      <c r="CG2" s="9">
        <v>15</v>
      </c>
      <c r="CH2" s="9" t="b">
        <v>1</v>
      </c>
      <c r="CI2" s="13" t="b">
        <v>1</v>
      </c>
      <c r="CJ2" s="15">
        <v>43647</v>
      </c>
      <c r="CK2" s="15">
        <v>43679</v>
      </c>
      <c r="CL2" s="9">
        <v>6</v>
      </c>
      <c r="CM2" s="9">
        <v>10</v>
      </c>
      <c r="CN2" s="9">
        <v>12</v>
      </c>
      <c r="CO2" s="9">
        <v>15</v>
      </c>
      <c r="CP2" s="9" t="b">
        <v>1</v>
      </c>
      <c r="CQ2" s="13" t="b">
        <v>1</v>
      </c>
      <c r="CR2" s="15">
        <v>43617</v>
      </c>
      <c r="CS2" s="15">
        <v>43672</v>
      </c>
      <c r="CT2" s="56" t="s">
        <v>129</v>
      </c>
      <c r="CU2" s="56" t="b">
        <v>1</v>
      </c>
      <c r="CV2" s="56" t="b">
        <v>1</v>
      </c>
      <c r="CW2" s="52" t="b">
        <v>1</v>
      </c>
      <c r="CX2" s="52" t="b">
        <v>1</v>
      </c>
      <c r="CY2" s="62" t="b">
        <v>1</v>
      </c>
      <c r="CZ2" s="52">
        <v>2000</v>
      </c>
      <c r="DA2" s="52">
        <v>2050</v>
      </c>
      <c r="DB2" s="89">
        <v>36526</v>
      </c>
      <c r="DC2" s="89">
        <v>54789</v>
      </c>
      <c r="DD2" s="89">
        <v>44669</v>
      </c>
      <c r="LO2" s="48">
        <v>1</v>
      </c>
      <c r="LP2" s="12" t="s">
        <v>245</v>
      </c>
      <c r="LQ2" s="49" t="s">
        <v>311</v>
      </c>
      <c r="LR2" s="49" t="s">
        <v>312</v>
      </c>
      <c r="LS2" s="49" t="s">
        <v>246</v>
      </c>
      <c r="LT2" s="12" t="s">
        <v>247</v>
      </c>
      <c r="LU2" s="12"/>
      <c r="LV2" s="50">
        <v>44669</v>
      </c>
    </row>
    <row r="3" spans="1:335" x14ac:dyDescent="0.25">
      <c r="A3" s="10"/>
      <c r="B3" s="10"/>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9"/>
      <c r="BU3" s="9"/>
      <c r="BV3" s="9"/>
      <c r="BW3" s="9"/>
      <c r="BX3" s="9"/>
      <c r="BY3" s="9"/>
      <c r="BZ3" s="9"/>
      <c r="CA3" s="9"/>
      <c r="CB3" s="9"/>
      <c r="CC3" s="9"/>
      <c r="CD3" s="9"/>
      <c r="CE3" s="9"/>
      <c r="CF3" s="9"/>
      <c r="CG3" s="9"/>
      <c r="CH3" s="9"/>
      <c r="CI3" s="9"/>
      <c r="CJ3" s="9"/>
      <c r="CK3" s="9"/>
      <c r="CL3" s="9"/>
      <c r="CM3" s="9"/>
      <c r="CN3" s="9"/>
      <c r="CO3" s="9"/>
      <c r="CP3" s="9"/>
      <c r="CQ3" s="9"/>
      <c r="CR3" s="9"/>
      <c r="CS3" s="9"/>
      <c r="CT3" s="56"/>
      <c r="CU3" s="56"/>
      <c r="CV3" s="56"/>
    </row>
    <row r="4" spans="1:335" x14ac:dyDescent="0.25">
      <c r="A4" s="10"/>
      <c r="B4" s="10"/>
      <c r="C4" s="9"/>
      <c r="D4" s="9"/>
      <c r="E4" s="9"/>
      <c r="F4" s="9"/>
      <c r="G4" s="9"/>
      <c r="H4" s="9"/>
      <c r="I4" s="9"/>
      <c r="J4" s="9"/>
      <c r="K4" s="9"/>
      <c r="L4" s="9"/>
      <c r="M4" s="9"/>
      <c r="N4" s="9"/>
      <c r="O4" s="9"/>
      <c r="P4" s="9"/>
      <c r="Q4"/>
      <c r="R4"/>
      <c r="S4"/>
      <c r="T4"/>
      <c r="U4"/>
      <c r="V4"/>
      <c r="W4" s="9"/>
      <c r="X4" s="9"/>
      <c r="Y4" s="9"/>
      <c r="Z4" s="9"/>
      <c r="AA4" s="9"/>
      <c r="AB4" s="9"/>
      <c r="AC4" s="9"/>
      <c r="AD4" s="9"/>
      <c r="AE4" s="9"/>
      <c r="AF4" s="9"/>
      <c r="AG4" s="9"/>
      <c r="AH4" s="9"/>
      <c r="AI4" s="9"/>
      <c r="AJ4" s="9"/>
      <c r="AK4" s="9"/>
      <c r="AL4" s="9"/>
      <c r="AM4" s="9"/>
      <c r="AN4" s="9"/>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9"/>
      <c r="BU4" s="9"/>
      <c r="BV4" s="9"/>
      <c r="BW4" s="9"/>
      <c r="BX4" s="9"/>
      <c r="BY4" s="9"/>
      <c r="BZ4" s="9"/>
      <c r="CA4" s="9"/>
      <c r="CB4" s="9"/>
      <c r="CC4" s="9"/>
      <c r="CD4" s="9"/>
      <c r="CE4" s="9"/>
      <c r="CF4" s="9"/>
      <c r="CG4" s="9"/>
      <c r="CH4" s="9"/>
      <c r="CI4" s="9"/>
      <c r="CJ4" s="9"/>
      <c r="CK4" s="9"/>
      <c r="CL4" s="9"/>
      <c r="CM4" s="9"/>
      <c r="CN4" s="9"/>
      <c r="CO4" s="9"/>
      <c r="CP4" s="9"/>
      <c r="CQ4" s="9"/>
      <c r="CR4" s="9"/>
      <c r="CS4" s="9"/>
      <c r="CT4" s="56"/>
      <c r="CU4" s="56"/>
      <c r="CV4" s="56"/>
    </row>
    <row r="5" spans="1:335" x14ac:dyDescent="0.25">
      <c r="A5" s="10"/>
      <c r="B5" s="10"/>
      <c r="C5" s="9"/>
      <c r="D5" s="9"/>
      <c r="E5" s="9"/>
      <c r="F5" s="9"/>
      <c r="G5" s="9"/>
      <c r="H5" s="9"/>
      <c r="I5" s="9"/>
      <c r="J5" s="9"/>
      <c r="K5" s="9"/>
      <c r="L5" s="9"/>
      <c r="M5" s="9"/>
      <c r="N5" s="9"/>
      <c r="O5" s="9"/>
      <c r="P5" s="9"/>
      <c r="Q5"/>
      <c r="R5"/>
      <c r="S5"/>
      <c r="T5"/>
      <c r="U5"/>
      <c r="V5"/>
      <c r="W5" s="9"/>
      <c r="X5" s="9"/>
      <c r="Y5" s="9"/>
      <c r="Z5" s="9"/>
      <c r="AA5" s="9"/>
      <c r="AB5" s="9"/>
      <c r="AC5" s="9"/>
      <c r="AD5" s="9"/>
      <c r="AE5" s="9"/>
      <c r="AF5" s="9"/>
      <c r="AG5" s="9"/>
      <c r="AH5" s="9"/>
      <c r="AI5" s="9"/>
      <c r="AJ5" s="9"/>
      <c r="AK5" s="9"/>
      <c r="AL5" s="9"/>
      <c r="AM5" s="9"/>
      <c r="AN5" s="9"/>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9"/>
      <c r="BU5" s="9"/>
      <c r="BV5" s="9"/>
      <c r="BW5" s="9"/>
      <c r="BX5" s="9"/>
      <c r="BY5" s="9"/>
      <c r="BZ5" s="9"/>
      <c r="CA5" s="9"/>
      <c r="CB5" s="9"/>
      <c r="CC5" s="9"/>
      <c r="CD5" s="9"/>
      <c r="CE5" s="9"/>
      <c r="CF5" s="9"/>
      <c r="CG5" s="9"/>
      <c r="CH5" s="9"/>
      <c r="CI5" s="9"/>
      <c r="CJ5" s="9"/>
      <c r="CK5" s="9"/>
      <c r="CL5" s="9"/>
      <c r="CM5" s="9"/>
      <c r="CN5" s="9"/>
      <c r="CO5" s="9"/>
      <c r="CP5" s="9"/>
      <c r="CQ5" s="9"/>
      <c r="CR5" s="9"/>
      <c r="CS5" s="9"/>
      <c r="CT5" s="56"/>
      <c r="CU5" s="56"/>
      <c r="CV5" s="56"/>
    </row>
    <row r="6" spans="1:335" x14ac:dyDescent="0.25">
      <c r="A6" s="10"/>
      <c r="B6" s="10"/>
      <c r="C6" s="10"/>
      <c r="D6" s="10"/>
      <c r="E6" s="10"/>
      <c r="F6" s="10"/>
      <c r="G6" s="10"/>
      <c r="H6" s="10"/>
      <c r="I6" s="10"/>
      <c r="J6" s="10"/>
      <c r="K6" s="10"/>
      <c r="L6" s="76"/>
      <c r="M6" s="76"/>
      <c r="N6" s="10"/>
      <c r="O6" s="10"/>
      <c r="P6" s="10"/>
      <c r="Q6"/>
      <c r="R6"/>
      <c r="S6"/>
      <c r="T6"/>
      <c r="U6"/>
      <c r="V6"/>
      <c r="W6" s="10"/>
      <c r="X6" s="10"/>
      <c r="Y6" s="10"/>
      <c r="Z6" s="10"/>
      <c r="AA6" s="10"/>
      <c r="AB6" s="10"/>
      <c r="AC6" s="10"/>
      <c r="AD6" s="10"/>
      <c r="AE6" s="10"/>
      <c r="AF6" s="10"/>
      <c r="AG6" s="10"/>
      <c r="AH6" s="10"/>
      <c r="AI6" s="10"/>
      <c r="AJ6" s="10"/>
      <c r="AK6" s="10"/>
      <c r="AL6" s="10"/>
      <c r="AM6" s="10"/>
      <c r="AN6" s="10"/>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10"/>
      <c r="BU6" s="10"/>
      <c r="BV6" s="10"/>
      <c r="BW6" s="10"/>
      <c r="BX6" s="10"/>
      <c r="BY6" s="10"/>
      <c r="BZ6" s="10"/>
      <c r="CA6" s="10"/>
      <c r="CB6" s="10"/>
      <c r="CC6" s="10"/>
      <c r="CD6" s="10"/>
      <c r="CE6" s="10"/>
      <c r="CF6" s="10"/>
      <c r="CG6" s="10"/>
      <c r="CH6" s="10"/>
      <c r="CI6" s="10"/>
      <c r="CJ6" s="10"/>
      <c r="CK6" s="10"/>
      <c r="CL6" s="10"/>
      <c r="CM6" s="10"/>
      <c r="CN6" s="10"/>
      <c r="CO6" s="10"/>
      <c r="CP6" s="10"/>
      <c r="CQ6" s="10"/>
      <c r="CR6" s="10"/>
      <c r="CS6" s="10"/>
      <c r="CT6" s="56"/>
      <c r="CU6" s="56"/>
      <c r="CV6" s="56"/>
    </row>
    <row r="7" spans="1:335" x14ac:dyDescent="0.25">
      <c r="A7" s="10"/>
      <c r="B7" s="10"/>
      <c r="C7" s="10"/>
      <c r="D7" s="10"/>
      <c r="E7" s="10"/>
      <c r="F7" s="10"/>
      <c r="G7" s="10"/>
      <c r="H7" s="10"/>
      <c r="I7" s="10"/>
      <c r="J7" s="10"/>
      <c r="K7" s="10"/>
      <c r="L7" s="76"/>
      <c r="M7" s="76"/>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10"/>
      <c r="BU7" s="10"/>
      <c r="BV7" s="10"/>
      <c r="BW7" s="10"/>
      <c r="BX7" s="10"/>
      <c r="BY7" s="10"/>
      <c r="BZ7" s="10"/>
      <c r="CA7" s="10"/>
      <c r="CB7" s="10"/>
      <c r="CC7" s="10"/>
      <c r="CD7" s="10"/>
      <c r="CE7" s="10"/>
      <c r="CF7" s="10"/>
      <c r="CG7" s="10"/>
      <c r="CH7" s="10"/>
      <c r="CI7" s="10"/>
      <c r="CJ7" s="10"/>
      <c r="CK7" s="10"/>
      <c r="CL7" s="10"/>
      <c r="CM7" s="10"/>
      <c r="CN7" s="10"/>
      <c r="CO7" s="10"/>
      <c r="CP7" s="10"/>
      <c r="CQ7" s="10"/>
      <c r="CR7" s="10"/>
      <c r="CS7" s="10"/>
      <c r="CT7" s="56"/>
      <c r="CU7" s="56"/>
      <c r="CV7" s="56"/>
    </row>
    <row r="8" spans="1:335" x14ac:dyDescent="0.25">
      <c r="A8" s="56"/>
      <c r="C8" s="56"/>
      <c r="D8" s="56"/>
      <c r="E8" s="56"/>
      <c r="F8" s="56"/>
      <c r="G8" s="56"/>
      <c r="H8" s="56"/>
      <c r="I8" s="56"/>
      <c r="J8" s="56"/>
      <c r="K8" s="56"/>
      <c r="N8" s="56"/>
      <c r="O8" s="56"/>
      <c r="P8" s="56"/>
      <c r="Q8" s="56"/>
      <c r="R8" s="56"/>
      <c r="S8" s="56"/>
      <c r="T8" s="56"/>
      <c r="U8" s="56"/>
      <c r="V8" s="56"/>
      <c r="W8" s="56"/>
      <c r="X8" s="56"/>
      <c r="Y8" s="56"/>
      <c r="Z8" s="56"/>
      <c r="AA8" s="56"/>
      <c r="AB8" s="56"/>
      <c r="AC8" s="56"/>
      <c r="AD8" s="56"/>
      <c r="AE8" s="56"/>
      <c r="AF8" s="56"/>
      <c r="AG8" s="56"/>
      <c r="AH8" s="56"/>
      <c r="AI8" s="56"/>
      <c r="AJ8" s="56"/>
      <c r="AK8" s="56"/>
      <c r="AL8" s="56"/>
      <c r="AM8" s="56"/>
      <c r="AN8" s="56"/>
      <c r="AO8" s="56"/>
      <c r="AP8" s="56"/>
      <c r="AQ8" s="56"/>
      <c r="AR8" s="56"/>
      <c r="AS8" s="56"/>
      <c r="AU8" s="56"/>
      <c r="AV8" s="56"/>
      <c r="AW8" s="56"/>
      <c r="AX8" s="56"/>
      <c r="AY8" s="56"/>
      <c r="AZ8" s="56"/>
      <c r="BA8" s="56"/>
      <c r="BB8" s="56"/>
      <c r="BC8" s="56"/>
      <c r="BD8" s="56"/>
      <c r="BE8" s="56"/>
      <c r="BF8" s="56"/>
      <c r="BG8" s="56"/>
      <c r="BH8" s="56"/>
      <c r="BI8" s="56"/>
      <c r="BJ8" s="56"/>
      <c r="BK8" s="56"/>
      <c r="BL8" s="56"/>
      <c r="BT8" s="56"/>
      <c r="BU8" s="56"/>
      <c r="BV8" s="56"/>
      <c r="BW8" s="56"/>
      <c r="BX8" s="56"/>
      <c r="BY8" s="56"/>
      <c r="BZ8" s="56"/>
      <c r="CA8" s="56"/>
      <c r="CB8" s="56"/>
      <c r="CC8" s="56"/>
      <c r="CD8" s="56"/>
      <c r="CE8" s="56"/>
      <c r="CF8" s="56"/>
      <c r="CG8" s="56"/>
      <c r="CH8" s="56"/>
      <c r="CI8" s="56"/>
      <c r="CJ8" s="56"/>
      <c r="CK8" s="56"/>
      <c r="CL8" s="56"/>
      <c r="CM8" s="56"/>
      <c r="CN8" s="56"/>
      <c r="CO8" s="56"/>
      <c r="CP8" s="56"/>
      <c r="CQ8" s="56"/>
      <c r="CR8" s="56"/>
      <c r="CS8" s="56"/>
      <c r="CT8" s="56"/>
      <c r="CU8" s="56"/>
      <c r="CV8" s="56"/>
    </row>
    <row r="9" spans="1:335" x14ac:dyDescent="0.25">
      <c r="A9" s="56"/>
      <c r="C9" s="56"/>
      <c r="D9" s="56"/>
      <c r="E9" s="56"/>
      <c r="F9" s="56"/>
      <c r="G9" s="56"/>
      <c r="H9" s="56"/>
      <c r="I9" s="56"/>
      <c r="J9" s="56"/>
      <c r="K9" s="56"/>
      <c r="N9" s="56"/>
      <c r="O9" s="56"/>
      <c r="P9" s="56"/>
      <c r="Q9" s="56"/>
      <c r="R9" s="56"/>
      <c r="S9" s="56"/>
      <c r="T9" s="56"/>
      <c r="U9" s="56"/>
      <c r="V9" s="56"/>
      <c r="W9" s="56"/>
      <c r="X9" s="56"/>
      <c r="Y9" s="56"/>
      <c r="Z9" s="56"/>
      <c r="AA9" s="56"/>
      <c r="AB9" s="56"/>
      <c r="AC9" s="56"/>
      <c r="AD9" s="56"/>
      <c r="AE9" s="56"/>
      <c r="AF9" s="56"/>
      <c r="AG9" s="56"/>
      <c r="AH9" s="56"/>
      <c r="AI9" s="56"/>
      <c r="AJ9" s="56"/>
      <c r="AK9" s="56"/>
      <c r="AL9" s="56"/>
      <c r="AM9" s="56"/>
      <c r="AN9" s="56"/>
      <c r="AO9" s="56"/>
      <c r="AP9" s="56"/>
      <c r="AQ9" s="56"/>
      <c r="AR9" s="56"/>
      <c r="AS9" s="56"/>
      <c r="AU9" s="56"/>
      <c r="AV9" s="56"/>
      <c r="AW9" s="56"/>
      <c r="AX9" s="56"/>
      <c r="AY9" s="56"/>
      <c r="AZ9" s="56"/>
      <c r="BA9" s="56"/>
      <c r="BB9" s="56"/>
      <c r="BC9" s="56"/>
      <c r="BD9" s="56"/>
      <c r="BE9" s="56"/>
      <c r="BF9" s="56"/>
      <c r="BG9" s="56"/>
      <c r="BH9" s="56"/>
      <c r="BI9" s="56"/>
      <c r="BJ9" s="56"/>
      <c r="BK9" s="56"/>
      <c r="BL9" s="56"/>
      <c r="BT9" s="56"/>
      <c r="BU9" s="56"/>
      <c r="BV9" s="56"/>
      <c r="BW9" s="56"/>
      <c r="BX9" s="56"/>
      <c r="BY9" s="56"/>
      <c r="BZ9" s="56"/>
      <c r="CA9" s="56"/>
      <c r="CB9" s="56"/>
      <c r="CC9" s="56"/>
      <c r="CD9" s="56"/>
      <c r="CE9" s="56"/>
      <c r="CF9" s="56"/>
      <c r="CG9" s="56"/>
      <c r="CH9" s="56"/>
      <c r="CI9" s="56"/>
      <c r="CJ9" s="56"/>
      <c r="CK9" s="56"/>
      <c r="CL9" s="56"/>
      <c r="CM9" s="56"/>
      <c r="CN9" s="56"/>
      <c r="CO9" s="56"/>
      <c r="CP9" s="56"/>
      <c r="CQ9" s="56"/>
      <c r="CR9" s="56"/>
      <c r="CS9" s="56"/>
      <c r="CT9" s="56"/>
      <c r="CU9" s="56"/>
      <c r="CV9" s="56"/>
    </row>
    <row r="10" spans="1:335" x14ac:dyDescent="0.25">
      <c r="A10" s="56"/>
      <c r="C10" s="56"/>
      <c r="D10" s="56"/>
      <c r="E10" s="56"/>
      <c r="F10" s="56"/>
      <c r="G10" s="56"/>
      <c r="H10" s="56"/>
      <c r="I10" s="56"/>
      <c r="J10" s="56"/>
      <c r="K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U10" s="56"/>
      <c r="AV10" s="56"/>
      <c r="AW10" s="56"/>
      <c r="AX10" s="56"/>
      <c r="AY10" s="56"/>
      <c r="AZ10" s="56"/>
      <c r="BA10" s="56"/>
      <c r="BB10" s="56"/>
      <c r="BC10" s="56"/>
      <c r="BD10" s="56"/>
      <c r="BE10" s="56"/>
      <c r="BF10" s="56"/>
      <c r="BG10" s="56"/>
      <c r="BH10" s="56"/>
      <c r="BI10" s="56"/>
      <c r="BJ10" s="56"/>
      <c r="BK10" s="56"/>
      <c r="BL10" s="56"/>
      <c r="BT10" s="56"/>
      <c r="BU10" s="56"/>
      <c r="BV10" s="56"/>
      <c r="BW10" s="56"/>
      <c r="BX10" s="56"/>
      <c r="BY10" s="56"/>
      <c r="BZ10" s="56"/>
      <c r="CA10" s="56"/>
      <c r="CB10" s="56"/>
      <c r="CC10" s="56"/>
      <c r="CD10" s="56"/>
      <c r="CE10" s="56"/>
      <c r="CF10" s="56"/>
      <c r="CG10" s="56"/>
      <c r="CH10" s="56"/>
      <c r="CI10" s="56"/>
      <c r="CJ10" s="56"/>
      <c r="CK10" s="56"/>
      <c r="CL10" s="56"/>
      <c r="CM10" s="56"/>
      <c r="CN10" s="56"/>
      <c r="CO10" s="56"/>
      <c r="CP10" s="56"/>
      <c r="CQ10" s="56"/>
      <c r="CR10" s="56"/>
      <c r="CS10" s="56"/>
      <c r="CT10" s="56"/>
      <c r="CU10" s="56"/>
      <c r="CV10" s="56"/>
    </row>
  </sheetData>
  <sheetProtection formatCells="0" formatColumns="0" formatRows="0" insertHyperlinks="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GDT"/>
  <dimension ref="A1:BA62"/>
  <sheetViews>
    <sheetView showGridLines="0" showRowColHeaders="0" zoomScaleNormal="100" workbookViewId="0">
      <selection activeCell="N1" sqref="N1:XFD1048576"/>
    </sheetView>
  </sheetViews>
  <sheetFormatPr defaultColWidth="0" defaultRowHeight="15" x14ac:dyDescent="0.25"/>
  <cols>
    <col min="1" max="1" width="1" style="98" customWidth="1"/>
    <col min="2" max="6" width="15.7109375" customWidth="1"/>
    <col min="7" max="7" width="15.7109375" style="98" customWidth="1"/>
    <col min="8" max="13" width="15.7109375" customWidth="1"/>
    <col min="14" max="15" width="15.7109375" hidden="1" customWidth="1"/>
    <col min="16" max="16" width="6.140625" hidden="1" customWidth="1"/>
    <col min="17" max="17" width="10.28515625" hidden="1" customWidth="1"/>
    <col min="18" max="18" width="10.7109375" hidden="1" customWidth="1"/>
    <col min="19" max="19" width="6" hidden="1" customWidth="1"/>
    <col min="20" max="20" width="9.7109375" hidden="1" customWidth="1"/>
    <col min="21" max="21" width="11.28515625" hidden="1" customWidth="1"/>
    <col min="22" max="22" width="11.85546875" hidden="1" customWidth="1"/>
    <col min="23" max="23" width="10.140625" hidden="1" customWidth="1"/>
    <col min="24" max="24" width="9.7109375" hidden="1" customWidth="1"/>
    <col min="25" max="25" width="10.140625" hidden="1" customWidth="1"/>
    <col min="26" max="26" width="6" hidden="1" customWidth="1"/>
    <col min="27" max="27" width="10.42578125" hidden="1" customWidth="1"/>
    <col min="28" max="28" width="9.7109375" hidden="1" customWidth="1"/>
    <col min="29" max="30" width="6.140625" hidden="1" customWidth="1"/>
    <col min="31" max="16384" width="6" hidden="1"/>
  </cols>
  <sheetData>
    <row r="1" spans="1:53" s="2" customFormat="1" ht="11.25" customHeight="1" x14ac:dyDescent="0.25">
      <c r="A1" s="117"/>
      <c r="B1" s="117"/>
      <c r="C1" s="92"/>
      <c r="D1" s="92"/>
      <c r="E1" s="92"/>
      <c r="F1" s="92"/>
      <c r="G1" s="92"/>
      <c r="H1" s="92"/>
      <c r="I1" s="111"/>
      <c r="J1" s="111"/>
      <c r="K1" s="111"/>
      <c r="L1" s="111"/>
      <c r="M1" s="111"/>
      <c r="N1" s="111"/>
      <c r="O1" s="111"/>
      <c r="P1" s="118" t="s">
        <v>196</v>
      </c>
      <c r="Q1" s="118" t="s">
        <v>197</v>
      </c>
      <c r="R1" s="118" t="s">
        <v>198</v>
      </c>
      <c r="S1" s="118" t="s">
        <v>9</v>
      </c>
      <c r="T1" s="118" t="s">
        <v>199</v>
      </c>
      <c r="U1" s="118" t="s">
        <v>224</v>
      </c>
      <c r="V1" s="118" t="s">
        <v>201</v>
      </c>
      <c r="W1" s="118" t="s">
        <v>201</v>
      </c>
      <c r="X1" s="118" t="s">
        <v>200</v>
      </c>
      <c r="Y1" s="118" t="s">
        <v>202</v>
      </c>
      <c r="Z1" s="118" t="s">
        <v>203</v>
      </c>
      <c r="AA1" s="118" t="s">
        <v>204</v>
      </c>
      <c r="AB1" s="118" t="s">
        <v>205</v>
      </c>
      <c r="AC1" s="118" t="s">
        <v>3</v>
      </c>
      <c r="AD1" s="118" t="s">
        <v>206</v>
      </c>
      <c r="AE1" s="118" t="s">
        <v>207</v>
      </c>
      <c r="AF1" s="118" t="s">
        <v>208</v>
      </c>
      <c r="AG1" s="118" t="s">
        <v>209</v>
      </c>
      <c r="AH1" s="118"/>
      <c r="AI1" s="118"/>
      <c r="AJ1" s="118"/>
      <c r="AK1" s="118"/>
      <c r="AL1" s="118"/>
      <c r="AM1" s="118"/>
      <c r="AN1" s="118"/>
      <c r="AO1" s="118"/>
      <c r="AP1" s="118"/>
      <c r="AQ1" s="118"/>
      <c r="AR1" s="118"/>
      <c r="AS1" s="118" t="s">
        <v>238</v>
      </c>
      <c r="AT1" s="118" t="s">
        <v>239</v>
      </c>
      <c r="AU1" s="118"/>
      <c r="AV1" s="118"/>
      <c r="AW1" s="118"/>
      <c r="AX1" s="118" t="s">
        <v>214</v>
      </c>
      <c r="AY1" s="118" t="s">
        <v>221</v>
      </c>
      <c r="AZ1" s="118" t="s">
        <v>222</v>
      </c>
    </row>
    <row r="2" spans="1:53" s="2" customFormat="1" ht="20.25" thickBot="1" x14ac:dyDescent="0.35">
      <c r="A2" s="108"/>
      <c r="B2" s="167"/>
      <c r="C2" s="167"/>
      <c r="D2" s="167"/>
      <c r="E2" s="167"/>
      <c r="F2" s="107"/>
      <c r="G2" s="107"/>
      <c r="H2" s="108"/>
      <c r="I2" s="109"/>
      <c r="J2" s="109"/>
      <c r="K2" s="109"/>
      <c r="L2" s="109"/>
      <c r="M2" s="110"/>
      <c r="N2" s="110"/>
      <c r="O2" s="109"/>
      <c r="P2" s="118" t="s">
        <v>194</v>
      </c>
      <c r="Q2" s="118" t="s">
        <v>210</v>
      </c>
      <c r="R2" s="118" t="s">
        <v>210</v>
      </c>
      <c r="S2" s="118"/>
      <c r="T2" s="118">
        <v>0.5</v>
      </c>
      <c r="U2" s="119">
        <v>1000</v>
      </c>
      <c r="V2" s="119">
        <v>2000</v>
      </c>
      <c r="W2" s="119">
        <v>200</v>
      </c>
      <c r="X2" s="119">
        <v>100</v>
      </c>
      <c r="Y2" s="119">
        <v>500</v>
      </c>
      <c r="Z2" s="118" t="s">
        <v>8</v>
      </c>
      <c r="AA2" s="120">
        <v>44398</v>
      </c>
      <c r="AB2" s="120">
        <v>44411</v>
      </c>
      <c r="AC2" s="118">
        <v>5</v>
      </c>
      <c r="AD2" s="118">
        <v>0</v>
      </c>
      <c r="AE2" s="118">
        <v>0</v>
      </c>
      <c r="AF2" s="118">
        <v>5</v>
      </c>
      <c r="AG2" s="118">
        <v>0</v>
      </c>
      <c r="AH2" s="118"/>
      <c r="AI2" s="118"/>
      <c r="AJ2" s="118"/>
      <c r="AK2" s="118"/>
      <c r="AL2" s="118"/>
      <c r="AM2" s="118"/>
      <c r="AN2" s="118"/>
      <c r="AO2" s="118"/>
      <c r="AP2" s="118"/>
      <c r="AQ2" s="118"/>
      <c r="AR2" s="118"/>
      <c r="AS2" s="118" t="str">
        <f>$Z$2&amp;" "&amp;$U$2</f>
        <v>$ 1000</v>
      </c>
      <c r="AT2" s="118" t="str">
        <f>$Z$2&amp;" "&amp;$Y$2</f>
        <v>$ 500</v>
      </c>
      <c r="AU2" s="118"/>
      <c r="AV2" s="118" t="str">
        <f>IF($AX$2=0,"Planned",IF($AX$2=1,"Completed","In-Progress"))</f>
        <v>In-Progress</v>
      </c>
      <c r="AW2" s="118"/>
      <c r="AX2" s="121">
        <f>T2</f>
        <v>0.5</v>
      </c>
      <c r="AY2" s="121">
        <f>1-AX2</f>
        <v>0.5</v>
      </c>
      <c r="AZ2" s="122">
        <f>IFERROR((Y2-U2)/U2,0)</f>
        <v>-0.5</v>
      </c>
      <c r="BA2" s="114" t="str">
        <f>IF(AZ2&gt;0,TEXT(AZ2,"##%") &amp; " Over Target","")</f>
        <v/>
      </c>
    </row>
    <row r="3" spans="1:53" s="2" customFormat="1" ht="15" customHeight="1" thickTop="1" x14ac:dyDescent="0.25">
      <c r="A3" s="124"/>
      <c r="B3" s="169" t="s">
        <v>11</v>
      </c>
      <c r="C3" s="169"/>
      <c r="D3" s="169"/>
      <c r="E3" s="169"/>
      <c r="F3"/>
      <c r="G3" s="98"/>
      <c r="H3"/>
      <c r="P3" s="118">
        <v>0</v>
      </c>
      <c r="Q3" s="118" t="s">
        <v>211</v>
      </c>
      <c r="R3" s="118" t="s">
        <v>211</v>
      </c>
      <c r="S3" s="118"/>
      <c r="T3" s="118">
        <v>0</v>
      </c>
      <c r="U3" s="119">
        <v>1000</v>
      </c>
      <c r="V3" s="119">
        <v>2000</v>
      </c>
      <c r="W3" s="119">
        <v>200</v>
      </c>
      <c r="X3" s="119">
        <v>100</v>
      </c>
      <c r="Y3" s="119">
        <v>300</v>
      </c>
      <c r="Z3" s="118" t="s">
        <v>8</v>
      </c>
      <c r="AA3" s="120">
        <v>44398</v>
      </c>
      <c r="AB3" s="120">
        <v>44411</v>
      </c>
      <c r="AC3" s="118">
        <v>5</v>
      </c>
      <c r="AD3" s="118">
        <v>0</v>
      </c>
      <c r="AE3" s="118">
        <v>0</v>
      </c>
      <c r="AF3" s="118">
        <v>5</v>
      </c>
      <c r="AG3" s="118">
        <v>0</v>
      </c>
      <c r="AH3" s="118"/>
      <c r="AI3" s="118"/>
      <c r="AJ3" s="118"/>
      <c r="AK3" s="118"/>
      <c r="AL3" s="118"/>
      <c r="AM3" s="118"/>
      <c r="AN3" s="118"/>
      <c r="AO3" s="118"/>
      <c r="AP3" s="118"/>
      <c r="AQ3" s="118"/>
      <c r="AR3" s="118"/>
      <c r="AS3" s="118"/>
      <c r="AT3" s="118"/>
      <c r="AU3" s="118"/>
      <c r="AV3" s="118"/>
      <c r="AW3" s="118"/>
      <c r="AX3" s="118"/>
      <c r="AY3" s="118"/>
      <c r="AZ3" s="118"/>
    </row>
    <row r="4" spans="1:53" s="2" customFormat="1" ht="15" customHeight="1" x14ac:dyDescent="0.25">
      <c r="A4" s="98"/>
      <c r="B4"/>
      <c r="C4"/>
      <c r="D4" s="101" t="s">
        <v>10</v>
      </c>
      <c r="E4" s="102" t="str">
        <f>AV2</f>
        <v>In-Progress</v>
      </c>
      <c r="F4" s="6"/>
      <c r="G4" s="98"/>
      <c r="H4"/>
      <c r="P4" s="118">
        <v>1</v>
      </c>
      <c r="Q4" s="118" t="s">
        <v>212</v>
      </c>
      <c r="R4" s="118" t="s">
        <v>195</v>
      </c>
      <c r="S4" s="118" t="s">
        <v>213</v>
      </c>
      <c r="T4" s="118">
        <v>0</v>
      </c>
      <c r="U4" s="119">
        <v>1000</v>
      </c>
      <c r="V4" s="119">
        <v>2000</v>
      </c>
      <c r="W4" s="119">
        <v>200</v>
      </c>
      <c r="X4" s="119">
        <v>100</v>
      </c>
      <c r="Y4" s="119">
        <v>300</v>
      </c>
      <c r="Z4" s="118" t="s">
        <v>8</v>
      </c>
      <c r="AA4" s="120">
        <v>44398</v>
      </c>
      <c r="AB4" s="120">
        <v>44411</v>
      </c>
      <c r="AC4" s="118">
        <v>5</v>
      </c>
      <c r="AD4" s="118">
        <v>0</v>
      </c>
      <c r="AE4" s="118">
        <v>0</v>
      </c>
      <c r="AF4" s="118">
        <v>5</v>
      </c>
      <c r="AG4" s="118">
        <v>0</v>
      </c>
      <c r="AH4" s="118"/>
      <c r="AI4" s="118"/>
      <c r="AJ4" s="118"/>
      <c r="AK4" s="118"/>
      <c r="AL4" s="118"/>
      <c r="AM4" s="118"/>
      <c r="AN4" s="118"/>
      <c r="AO4" s="118"/>
      <c r="AP4" s="118"/>
      <c r="AQ4" s="118"/>
      <c r="AR4" s="118"/>
      <c r="AS4" s="118"/>
      <c r="AT4" s="118"/>
      <c r="AU4" s="118"/>
      <c r="AV4" s="118"/>
      <c r="AW4" s="118"/>
      <c r="AX4" s="118"/>
      <c r="AY4" s="118"/>
      <c r="AZ4" s="118"/>
    </row>
    <row r="5" spans="1:53" s="2" customFormat="1" ht="15" customHeight="1" x14ac:dyDescent="0.25">
      <c r="A5" s="98"/>
      <c r="B5"/>
      <c r="C5"/>
      <c r="D5" s="103" t="s">
        <v>9</v>
      </c>
      <c r="E5" s="102" t="str">
        <f>IF(S2 = "","",S2)</f>
        <v/>
      </c>
      <c r="F5" s="6"/>
      <c r="G5" s="98"/>
      <c r="H5"/>
    </row>
    <row r="6" spans="1:53" s="2" customFormat="1" ht="15" customHeight="1" x14ac:dyDescent="0.25">
      <c r="A6" s="98"/>
      <c r="B6"/>
      <c r="C6"/>
      <c r="D6" s="103" t="s">
        <v>7</v>
      </c>
      <c r="E6" s="104">
        <f>AA2</f>
        <v>44398</v>
      </c>
      <c r="F6" s="5"/>
      <c r="G6" s="98"/>
      <c r="H6"/>
      <c r="J6" s="13"/>
      <c r="K6" s="13"/>
      <c r="L6" s="13"/>
      <c r="M6" s="13"/>
      <c r="N6" s="13"/>
      <c r="O6" s="13"/>
    </row>
    <row r="7" spans="1:53" s="2" customFormat="1" ht="15" customHeight="1" x14ac:dyDescent="0.25">
      <c r="A7" s="98"/>
      <c r="B7"/>
      <c r="C7"/>
      <c r="D7" s="103" t="s">
        <v>5</v>
      </c>
      <c r="E7" s="104">
        <f>AB2</f>
        <v>44411</v>
      </c>
      <c r="F7" s="5"/>
      <c r="G7" s="98"/>
      <c r="H7"/>
      <c r="J7" s="13"/>
      <c r="K7" s="13"/>
      <c r="L7" s="13"/>
      <c r="M7" s="13"/>
      <c r="N7" s="13"/>
      <c r="O7" s="13"/>
    </row>
    <row r="8" spans="1:53" s="2" customFormat="1" ht="15" customHeight="1" x14ac:dyDescent="0.25">
      <c r="A8" s="98"/>
      <c r="B8"/>
      <c r="C8"/>
      <c r="D8" s="115"/>
      <c r="E8" s="116"/>
      <c r="F8" s="4"/>
      <c r="G8" s="98"/>
      <c r="H8"/>
      <c r="J8" s="13"/>
      <c r="K8" s="13"/>
      <c r="L8" s="13"/>
      <c r="M8" s="13"/>
      <c r="N8" s="13"/>
      <c r="O8" s="13"/>
    </row>
    <row r="9" spans="1:53" s="2" customFormat="1" ht="15" customHeight="1" x14ac:dyDescent="0.25">
      <c r="A9" s="98"/>
      <c r="B9" s="164"/>
      <c r="C9" s="165"/>
      <c r="D9" s="101" t="s">
        <v>3</v>
      </c>
      <c r="E9" s="105">
        <f>AC2</f>
        <v>5</v>
      </c>
      <c r="F9" s="4"/>
      <c r="G9" s="98"/>
      <c r="H9"/>
    </row>
    <row r="10" spans="1:53" s="2" customFormat="1" ht="15" customHeight="1" x14ac:dyDescent="0.25">
      <c r="A10" s="98"/>
      <c r="B10"/>
      <c r="C10"/>
      <c r="D10" s="103" t="s">
        <v>56</v>
      </c>
      <c r="E10" s="105">
        <f>AD2</f>
        <v>0</v>
      </c>
      <c r="F10" s="4"/>
      <c r="G10" s="98"/>
      <c r="H10"/>
    </row>
    <row r="11" spans="1:53" s="2" customFormat="1" ht="15" customHeight="1" x14ac:dyDescent="0.25">
      <c r="A11" s="98"/>
      <c r="B11"/>
      <c r="C11"/>
      <c r="D11" s="103" t="s">
        <v>57</v>
      </c>
      <c r="E11" s="105">
        <f>AE2</f>
        <v>0</v>
      </c>
      <c r="F11" s="4"/>
      <c r="G11" s="98"/>
      <c r="H11"/>
    </row>
    <row r="12" spans="1:53" s="2" customFormat="1" ht="15" customHeight="1" x14ac:dyDescent="0.25">
      <c r="A12" s="98"/>
      <c r="B12"/>
      <c r="C12"/>
      <c r="D12" s="103" t="s">
        <v>58</v>
      </c>
      <c r="E12" s="105">
        <f>AF2</f>
        <v>5</v>
      </c>
      <c r="F12" s="3"/>
      <c r="G12" s="98"/>
      <c r="H12"/>
    </row>
    <row r="13" spans="1:53" s="2" customFormat="1" ht="15" customHeight="1" x14ac:dyDescent="0.25">
      <c r="A13" s="98"/>
      <c r="B13" s="97"/>
      <c r="C13" s="97"/>
      <c r="D13" s="103" t="s">
        <v>59</v>
      </c>
      <c r="E13" s="106">
        <f>AG2</f>
        <v>0</v>
      </c>
      <c r="F13" s="3"/>
      <c r="G13" s="98"/>
      <c r="H13" s="97"/>
    </row>
    <row r="14" spans="1:53" s="2" customFormat="1" ht="15" customHeight="1" x14ac:dyDescent="0.25">
      <c r="A14" s="98"/>
      <c r="B14" s="97"/>
      <c r="C14" s="97"/>
      <c r="D14" s="100"/>
      <c r="E14" s="99"/>
      <c r="F14" s="3"/>
      <c r="G14" s="98"/>
      <c r="H14" s="97"/>
    </row>
    <row r="15" spans="1:53" s="2" customFormat="1" ht="15.75" x14ac:dyDescent="0.25">
      <c r="A15" s="98"/>
      <c r="B15" s="168"/>
      <c r="C15" s="168"/>
      <c r="D15" s="168"/>
      <c r="E15" s="168"/>
      <c r="F15" s="113"/>
      <c r="G15" s="98"/>
      <c r="H15"/>
    </row>
    <row r="16" spans="1:53" s="7" customFormat="1" ht="15" customHeight="1" x14ac:dyDescent="0.25">
      <c r="A16" s="98"/>
      <c r="B16" s="1"/>
      <c r="C16" s="1"/>
      <c r="D16" s="125"/>
      <c r="E16" s="125"/>
      <c r="F16" s="1"/>
      <c r="G16" s="98"/>
      <c r="H16" s="1"/>
    </row>
    <row r="17" spans="1:8" s="2" customFormat="1" x14ac:dyDescent="0.25">
      <c r="A17" s="98"/>
      <c r="B17"/>
      <c r="C17"/>
      <c r="D17" s="1"/>
      <c r="E17" s="1"/>
      <c r="F17"/>
      <c r="G17" s="98"/>
      <c r="H17"/>
    </row>
    <row r="18" spans="1:8" s="2" customFormat="1" ht="15" customHeight="1" x14ac:dyDescent="0.25">
      <c r="A18" s="98"/>
      <c r="B18"/>
      <c r="C18"/>
      <c r="D18" s="166" t="str">
        <f>BA2</f>
        <v/>
      </c>
      <c r="E18" s="166"/>
      <c r="F18"/>
      <c r="G18" s="98"/>
      <c r="H18"/>
    </row>
    <row r="19" spans="1:8" s="2" customFormat="1" ht="15" customHeight="1" x14ac:dyDescent="0.25">
      <c r="A19" s="98"/>
      <c r="B19"/>
      <c r="C19"/>
      <c r="D19"/>
      <c r="E19"/>
      <c r="F19"/>
      <c r="G19" s="98"/>
      <c r="H19"/>
    </row>
    <row r="20" spans="1:8" s="2" customFormat="1" ht="15" customHeight="1" x14ac:dyDescent="0.25">
      <c r="A20" s="98"/>
      <c r="B20" s="163"/>
      <c r="C20" s="163"/>
      <c r="D20"/>
      <c r="E20"/>
      <c r="F20"/>
      <c r="G20" s="98"/>
      <c r="H20"/>
    </row>
    <row r="21" spans="1:8" s="2" customFormat="1" ht="15" customHeight="1" x14ac:dyDescent="0.25">
      <c r="A21" s="98"/>
      <c r="B21"/>
      <c r="C21"/>
      <c r="D21" s="8"/>
      <c r="E21"/>
      <c r="F21"/>
      <c r="G21" s="98"/>
      <c r="H21"/>
    </row>
    <row r="22" spans="1:8" s="2" customFormat="1" ht="15" customHeight="1" x14ac:dyDescent="0.25">
      <c r="A22" s="98"/>
      <c r="B22"/>
      <c r="C22"/>
      <c r="D22"/>
      <c r="E22"/>
      <c r="F22"/>
      <c r="G22" s="98"/>
      <c r="H22"/>
    </row>
    <row r="23" spans="1:8" s="2" customFormat="1" ht="15" customHeight="1" x14ac:dyDescent="0.25">
      <c r="A23" s="98"/>
      <c r="B23"/>
      <c r="C23"/>
      <c r="D23"/>
      <c r="E23"/>
      <c r="F23"/>
      <c r="G23" s="98"/>
      <c r="H23"/>
    </row>
    <row r="24" spans="1:8" s="2" customFormat="1" ht="15" customHeight="1" x14ac:dyDescent="0.25">
      <c r="A24" s="98"/>
      <c r="B24"/>
      <c r="C24"/>
      <c r="D24"/>
      <c r="E24"/>
      <c r="F24"/>
      <c r="G24" s="98"/>
      <c r="H24"/>
    </row>
    <row r="25" spans="1:8" s="2" customFormat="1" ht="15" customHeight="1" x14ac:dyDescent="0.25">
      <c r="A25" s="98"/>
      <c r="B25"/>
      <c r="C25"/>
      <c r="D25"/>
      <c r="E25"/>
      <c r="F25"/>
      <c r="G25" s="98"/>
      <c r="H25"/>
    </row>
    <row r="26" spans="1:8" s="7" customFormat="1" ht="15" customHeight="1" x14ac:dyDescent="0.25">
      <c r="A26" s="98"/>
      <c r="B26"/>
      <c r="C26"/>
      <c r="D26"/>
      <c r="E26"/>
      <c r="F26"/>
      <c r="G26" s="98"/>
      <c r="H26"/>
    </row>
    <row r="27" spans="1:8" s="2" customFormat="1" ht="15" customHeight="1" x14ac:dyDescent="0.25">
      <c r="A27" s="98"/>
      <c r="B27" s="1"/>
      <c r="C27" s="1"/>
      <c r="D27"/>
      <c r="E27"/>
      <c r="F27" s="1"/>
      <c r="G27" s="98"/>
      <c r="H27" s="1"/>
    </row>
    <row r="28" spans="1:8" s="2" customFormat="1" ht="15" customHeight="1" x14ac:dyDescent="0.25">
      <c r="A28" s="98"/>
      <c r="B28"/>
      <c r="C28"/>
      <c r="D28" s="1"/>
      <c r="E28" s="1"/>
      <c r="F28"/>
      <c r="G28" s="98"/>
      <c r="H28"/>
    </row>
    <row r="29" spans="1:8" s="2" customFormat="1" ht="15" customHeight="1" x14ac:dyDescent="0.25">
      <c r="A29" s="98"/>
      <c r="B29"/>
      <c r="C29"/>
      <c r="D29"/>
      <c r="E29"/>
      <c r="F29"/>
      <c r="G29" s="98"/>
      <c r="H29"/>
    </row>
    <row r="30" spans="1:8" s="2" customFormat="1" ht="15" customHeight="1" x14ac:dyDescent="0.25">
      <c r="A30" s="98"/>
      <c r="B30"/>
      <c r="C30"/>
      <c r="D30"/>
      <c r="E30"/>
      <c r="F30"/>
      <c r="G30" s="98"/>
      <c r="H30"/>
    </row>
    <row r="31" spans="1:8" s="2" customFormat="1" ht="15" customHeight="1" x14ac:dyDescent="0.25">
      <c r="A31" s="98"/>
      <c r="B31"/>
      <c r="C31"/>
      <c r="D31"/>
      <c r="E31"/>
      <c r="F31"/>
      <c r="G31" s="98"/>
      <c r="H31"/>
    </row>
    <row r="32" spans="1:8" s="2" customFormat="1" ht="15" customHeight="1" x14ac:dyDescent="0.25">
      <c r="A32" s="98"/>
      <c r="B32"/>
      <c r="C32"/>
      <c r="D32"/>
      <c r="E32"/>
      <c r="F32"/>
      <c r="G32" s="98"/>
      <c r="H32"/>
    </row>
    <row r="33" spans="1:8" s="2" customFormat="1" ht="15" customHeight="1" x14ac:dyDescent="0.25">
      <c r="A33" s="98"/>
      <c r="B33" s="91"/>
      <c r="C33" s="91"/>
      <c r="D33" s="8"/>
      <c r="E33"/>
      <c r="F33" s="91"/>
      <c r="G33" s="98"/>
      <c r="H33" s="91"/>
    </row>
    <row r="34" spans="1:8" s="2" customFormat="1" ht="15" customHeight="1" x14ac:dyDescent="0.25">
      <c r="A34" s="98"/>
      <c r="B34" s="91"/>
      <c r="C34" s="91"/>
      <c r="D34" s="91"/>
      <c r="E34" s="91"/>
      <c r="F34" s="91"/>
      <c r="G34" s="98"/>
      <c r="H34" s="91"/>
    </row>
    <row r="35" spans="1:8" s="2" customFormat="1" ht="15" customHeight="1" x14ac:dyDescent="0.25">
      <c r="A35" s="98"/>
      <c r="B35" s="93"/>
      <c r="C35" s="93"/>
      <c r="D35" s="91"/>
      <c r="E35" s="112"/>
      <c r="F35" s="93"/>
      <c r="G35" s="98"/>
      <c r="H35" s="91"/>
    </row>
    <row r="36" spans="1:8" s="2" customFormat="1" ht="15" customHeight="1" x14ac:dyDescent="0.25">
      <c r="A36" s="98"/>
      <c r="B36" s="93"/>
      <c r="C36" s="93"/>
      <c r="D36" s="93"/>
      <c r="E36" s="93"/>
      <c r="F36" s="93"/>
      <c r="G36" s="98"/>
      <c r="H36" s="91"/>
    </row>
    <row r="37" spans="1:8" s="2" customFormat="1" ht="15" customHeight="1" x14ac:dyDescent="0.25">
      <c r="A37" s="98"/>
      <c r="B37" s="93"/>
      <c r="C37" s="93"/>
      <c r="D37" s="93"/>
      <c r="E37" s="93"/>
      <c r="F37" s="93"/>
      <c r="G37" s="98"/>
      <c r="H37" s="91"/>
    </row>
    <row r="38" spans="1:8" s="2" customFormat="1" ht="15" customHeight="1" x14ac:dyDescent="0.25">
      <c r="A38" s="98"/>
      <c r="B38" s="93"/>
      <c r="C38" s="93"/>
      <c r="D38" s="93"/>
      <c r="E38" s="93"/>
      <c r="F38" s="93"/>
      <c r="G38" s="98"/>
      <c r="H38" s="91"/>
    </row>
    <row r="39" spans="1:8" s="2" customFormat="1" ht="15" customHeight="1" x14ac:dyDescent="0.25">
      <c r="A39" s="98"/>
      <c r="B39" s="93"/>
      <c r="C39" s="93"/>
      <c r="D39" s="93"/>
      <c r="E39" s="93"/>
      <c r="F39" s="93"/>
      <c r="G39" s="98"/>
      <c r="H39" s="91"/>
    </row>
    <row r="40" spans="1:8" s="2" customFormat="1" ht="15" customHeight="1" x14ac:dyDescent="0.25">
      <c r="A40" s="98"/>
      <c r="B40" s="93"/>
      <c r="C40" s="93"/>
      <c r="D40" s="93"/>
      <c r="E40" s="93"/>
      <c r="F40" s="93"/>
      <c r="G40" s="98"/>
      <c r="H40" s="91"/>
    </row>
    <row r="41" spans="1:8" s="2" customFormat="1" ht="15" customHeight="1" x14ac:dyDescent="0.25">
      <c r="A41" s="98"/>
      <c r="B41" s="93"/>
      <c r="C41" s="93"/>
      <c r="D41" s="93"/>
      <c r="E41" s="93"/>
      <c r="F41" s="93"/>
      <c r="G41" s="98"/>
      <c r="H41" s="91"/>
    </row>
    <row r="42" spans="1:8" s="2" customFormat="1" ht="15" customHeight="1" x14ac:dyDescent="0.25">
      <c r="A42" s="98"/>
      <c r="B42"/>
      <c r="C42"/>
      <c r="D42" s="93"/>
      <c r="E42" s="93"/>
      <c r="F42"/>
      <c r="G42" s="98"/>
      <c r="H42"/>
    </row>
    <row r="43" spans="1:8" s="2" customFormat="1" ht="15" customHeight="1" x14ac:dyDescent="0.25">
      <c r="A43" s="98"/>
      <c r="B43" s="1"/>
      <c r="C43" s="1"/>
      <c r="D43"/>
      <c r="E43"/>
      <c r="F43" s="1"/>
      <c r="G43" s="98"/>
      <c r="H43"/>
    </row>
    <row r="44" spans="1:8" s="2" customFormat="1" ht="15" customHeight="1" x14ac:dyDescent="0.25">
      <c r="A44" s="98"/>
      <c r="B44" s="1"/>
      <c r="C44" s="1"/>
      <c r="D44" s="1"/>
      <c r="E44" s="1"/>
      <c r="F44" s="1"/>
      <c r="G44" s="98"/>
      <c r="H44"/>
    </row>
    <row r="45" spans="1:8" ht="15" customHeight="1" x14ac:dyDescent="0.25">
      <c r="D45" s="1"/>
      <c r="E45" s="1"/>
    </row>
    <row r="46" spans="1:8" ht="15" customHeight="1" x14ac:dyDescent="0.25"/>
    <row r="47" spans="1:8" ht="15" customHeight="1" x14ac:dyDescent="0.25"/>
    <row r="48" spans="1: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sheetData>
  <sheetProtection formatCells="0" formatColumns="0" formatRows="0" insertHyperlinks="0" autoFilter="0"/>
  <mergeCells count="6">
    <mergeCell ref="B20:C20"/>
    <mergeCell ref="B9:C9"/>
    <mergeCell ref="D18:E18"/>
    <mergeCell ref="B2:E2"/>
    <mergeCell ref="B15:E15"/>
    <mergeCell ref="B3:E3"/>
  </mergeCells>
  <conditionalFormatting sqref="E13:E14">
    <cfRule type="cellIs" dxfId="0" priority="5" operator="greaterThan">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tnRefreshDashboard">
              <controlPr defaultSize="0" print="0" autoFill="0" autoPict="0" macro="[0]!refreshdashbutton">
                <anchor>
                  <from>
                    <xdr:col>5</xdr:col>
                    <xdr:colOff>142875</xdr:colOff>
                    <xdr:row>1</xdr:row>
                    <xdr:rowOff>19050</xdr:rowOff>
                  </from>
                  <to>
                    <xdr:col>5</xdr:col>
                    <xdr:colOff>676275</xdr:colOff>
                    <xdr:row>1</xdr:row>
                    <xdr:rowOff>228600</xdr:rowOff>
                  </to>
                </anchor>
              </controlPr>
            </control>
          </mc:Choice>
        </mc:AlternateContent>
      </controls>
    </mc:Choice>
  </mc:AlternateContent>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VS"/>
  <dimension ref="A1:BU10"/>
  <sheetViews>
    <sheetView workbookViewId="0">
      <selection activeCell="B93" sqref="B93"/>
    </sheetView>
  </sheetViews>
  <sheetFormatPr defaultRowHeight="15" x14ac:dyDescent="0.25"/>
  <cols>
    <col min="1" max="1" width="13.140625" bestFit="1" customWidth="1"/>
    <col min="2" max="2" width="11.5703125" bestFit="1" customWidth="1"/>
    <col min="6" max="8" width="9.140625" style="128"/>
    <col min="10" max="11" width="13.140625" bestFit="1" customWidth="1"/>
    <col min="12" max="12" width="11.5703125" bestFit="1" customWidth="1"/>
    <col min="13" max="13" width="8.7109375" bestFit="1" customWidth="1"/>
    <col min="14" max="14" width="8.28515625" bestFit="1" customWidth="1"/>
    <col min="15" max="17" width="8.28515625" style="128" customWidth="1"/>
    <col min="18" max="18" width="11.28515625" bestFit="1" customWidth="1"/>
    <col min="21" max="21" width="14.28515625" bestFit="1" customWidth="1"/>
    <col min="22" max="22" width="7.140625" bestFit="1" customWidth="1"/>
    <col min="23" max="23" width="11" bestFit="1" customWidth="1"/>
    <col min="24" max="26" width="11" style="128" customWidth="1"/>
    <col min="27" max="27" width="11" bestFit="1" customWidth="1"/>
    <col min="31" max="31" width="12" bestFit="1" customWidth="1"/>
    <col min="32" max="32" width="17.85546875" bestFit="1" customWidth="1"/>
    <col min="33" max="33" width="31.28515625" bestFit="1" customWidth="1"/>
    <col min="34" max="35" width="31.28515625" style="128" customWidth="1"/>
    <col min="36" max="36" width="31.28515625" bestFit="1" customWidth="1"/>
    <col min="37" max="37" width="33.140625" bestFit="1" customWidth="1"/>
    <col min="38" max="39" width="36.28515625" style="127" bestFit="1" customWidth="1"/>
    <col min="40" max="40" width="14.28515625" bestFit="1" customWidth="1"/>
    <col min="41" max="41" width="22.28515625" bestFit="1" customWidth="1"/>
    <col min="42" max="42" width="13.140625" bestFit="1" customWidth="1"/>
    <col min="43" max="43" width="11.5703125" bestFit="1" customWidth="1"/>
    <col min="47" max="49" width="9.140625" style="128"/>
    <col min="53" max="53" width="13.140625" bestFit="1" customWidth="1"/>
    <col min="54" max="54" width="7.140625" bestFit="1" customWidth="1"/>
    <col min="57" max="59" width="9.140625" style="128"/>
    <col min="63" max="63" width="12" bestFit="1" customWidth="1"/>
    <col min="64" max="64" width="7.140625" bestFit="1" customWidth="1"/>
    <col min="66" max="70" width="9.140625" style="128"/>
    <col min="72" max="72" width="12" bestFit="1" customWidth="1"/>
    <col min="73" max="73" width="7.140625" bestFit="1" customWidth="1"/>
    <col min="76" max="76" width="12" bestFit="1" customWidth="1"/>
    <col min="77" max="77" width="17.85546875" bestFit="1" customWidth="1"/>
    <col min="81" max="81" width="12" bestFit="1" customWidth="1"/>
    <col min="82" max="82" width="17.85546875" bestFit="1" customWidth="1"/>
  </cols>
  <sheetData>
    <row r="1" spans="1:73" x14ac:dyDescent="0.25">
      <c r="A1" s="94" t="s">
        <v>215</v>
      </c>
      <c r="B1" s="130" t="s">
        <v>241</v>
      </c>
      <c r="K1" s="94" t="s">
        <v>215</v>
      </c>
      <c r="L1" s="130" t="s">
        <v>241</v>
      </c>
      <c r="U1" s="94" t="s">
        <v>215</v>
      </c>
      <c r="V1" s="130" t="s">
        <v>241</v>
      </c>
      <c r="AE1" s="94" t="s">
        <v>215</v>
      </c>
      <c r="AF1" s="130" t="s">
        <v>241</v>
      </c>
      <c r="AP1" s="94" t="s">
        <v>215</v>
      </c>
      <c r="AQ1" s="130" t="s">
        <v>241</v>
      </c>
      <c r="BA1" s="94" t="s">
        <v>215</v>
      </c>
      <c r="BB1" s="130" t="s">
        <v>241</v>
      </c>
      <c r="BK1" s="94" t="s">
        <v>215</v>
      </c>
      <c r="BL1" s="130" t="s">
        <v>241</v>
      </c>
      <c r="BT1" s="94" t="s">
        <v>215</v>
      </c>
      <c r="BU1" s="130" t="s">
        <v>241</v>
      </c>
    </row>
    <row r="2" spans="1:73" x14ac:dyDescent="0.25">
      <c r="A2" s="94" t="s">
        <v>171</v>
      </c>
      <c r="B2" s="130" t="s">
        <v>241</v>
      </c>
      <c r="K2" s="94" t="s">
        <v>171</v>
      </c>
      <c r="L2" s="130" t="s">
        <v>241</v>
      </c>
      <c r="U2" s="94" t="s">
        <v>171</v>
      </c>
      <c r="V2" s="130" t="s">
        <v>241</v>
      </c>
      <c r="AE2" s="94" t="s">
        <v>234</v>
      </c>
      <c r="AF2" s="130" t="s">
        <v>219</v>
      </c>
      <c r="AP2" s="94" t="s">
        <v>171</v>
      </c>
      <c r="AQ2" s="130" t="s">
        <v>241</v>
      </c>
      <c r="BA2" s="94" t="s">
        <v>171</v>
      </c>
      <c r="BB2" s="130" t="s">
        <v>241</v>
      </c>
      <c r="BK2" s="94" t="s">
        <v>171</v>
      </c>
      <c r="BL2" s="130" t="s">
        <v>241</v>
      </c>
      <c r="BT2" s="94" t="s">
        <v>171</v>
      </c>
      <c r="BU2" s="130" t="s">
        <v>241</v>
      </c>
    </row>
    <row r="3" spans="1:73" x14ac:dyDescent="0.25">
      <c r="AP3" s="123"/>
      <c r="AQ3" s="123"/>
      <c r="BA3" s="127"/>
      <c r="BB3" s="127"/>
    </row>
    <row r="4" spans="1:73" x14ac:dyDescent="0.25">
      <c r="A4" s="94" t="s">
        <v>216</v>
      </c>
      <c r="B4" t="s">
        <v>217</v>
      </c>
      <c r="K4" s="94" t="s">
        <v>216</v>
      </c>
      <c r="L4" t="s">
        <v>217</v>
      </c>
      <c r="U4" s="94" t="s">
        <v>218</v>
      </c>
      <c r="AL4"/>
      <c r="AM4"/>
      <c r="AP4" s="94" t="s">
        <v>216</v>
      </c>
      <c r="AQ4" t="s">
        <v>217</v>
      </c>
      <c r="BA4" s="94" t="s">
        <v>216</v>
      </c>
    </row>
    <row r="5" spans="1:73" x14ac:dyDescent="0.25">
      <c r="A5" s="96" t="s">
        <v>56</v>
      </c>
      <c r="B5" s="95">
        <v>1</v>
      </c>
      <c r="K5" s="96" t="s">
        <v>237</v>
      </c>
      <c r="L5" s="95">
        <v>1</v>
      </c>
      <c r="U5" s="96" t="s">
        <v>192</v>
      </c>
      <c r="V5" s="129"/>
      <c r="AL5"/>
      <c r="AM5"/>
      <c r="AP5" s="126" t="s">
        <v>242</v>
      </c>
      <c r="AQ5" s="95">
        <v>1</v>
      </c>
      <c r="BA5" s="96" t="s">
        <v>235</v>
      </c>
    </row>
    <row r="6" spans="1:73" x14ac:dyDescent="0.25">
      <c r="A6" s="96" t="s">
        <v>244</v>
      </c>
      <c r="B6" s="95">
        <v>1</v>
      </c>
      <c r="K6" s="96" t="s">
        <v>236</v>
      </c>
      <c r="L6" s="95">
        <v>1</v>
      </c>
      <c r="U6" s="96" t="s">
        <v>220</v>
      </c>
      <c r="V6" s="129"/>
      <c r="AL6"/>
      <c r="AM6"/>
      <c r="AP6" s="126" t="s">
        <v>240</v>
      </c>
      <c r="AQ6" s="95">
        <v>3</v>
      </c>
    </row>
    <row r="7" spans="1:73" x14ac:dyDescent="0.25">
      <c r="A7" s="96" t="s">
        <v>59</v>
      </c>
      <c r="B7" s="95">
        <v>1</v>
      </c>
      <c r="K7" s="96" t="s">
        <v>168</v>
      </c>
      <c r="L7" s="95">
        <v>2</v>
      </c>
      <c r="U7" s="96" t="s">
        <v>193</v>
      </c>
      <c r="V7" s="129"/>
      <c r="AL7"/>
      <c r="AM7"/>
    </row>
    <row r="8" spans="1:73" x14ac:dyDescent="0.25">
      <c r="A8" s="96" t="s">
        <v>58</v>
      </c>
      <c r="B8" s="95">
        <v>1</v>
      </c>
      <c r="AL8"/>
      <c r="AM8"/>
    </row>
    <row r="9" spans="1:73" x14ac:dyDescent="0.25">
      <c r="AL9"/>
      <c r="AM9"/>
    </row>
    <row r="10" spans="1:73" x14ac:dyDescent="0.25">
      <c r="AL10"/>
    </row>
  </sheetData>
  <pageMargins left="0.7" right="0.7" top="0.75" bottom="0.75" header="0.3" footer="0.3"/>
  <drawing r:id="rId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T12"/>
  <sheetViews>
    <sheetView showGridLines="0" showRowColHeaders="0" tabSelected="1" topLeftCell="H6" zoomScaleNormal="100" workbookViewId="0">
      <selection activeCell="K11" sqref="K11"/>
    </sheetView>
  </sheetViews>
  <sheetFormatPr defaultColWidth="0" defaultRowHeight="15" x14ac:dyDescent="0.25"/>
  <cols>
    <col min="1" max="7" width="0" style="134" hidden="1" customWidth="1"/>
    <col min="8" max="9" width="2.7109375" style="134" customWidth="1"/>
    <col min="10" max="10" width="6.7109375" style="136" customWidth="1"/>
    <col min="11" max="11" width="45.7109375" style="136" customWidth="1"/>
    <col min="12" max="12" width="10.7109375" style="138" customWidth="1"/>
    <col min="13" max="13" width="10.7109375" style="134" hidden="1" customWidth="1"/>
    <col min="14" max="14" width="15.7109375" style="136" customWidth="1"/>
    <col min="15" max="18" width="15.7109375" style="137" hidden="1" customWidth="1"/>
    <col min="19" max="20" width="21.7109375" style="137" customWidth="1"/>
    <col min="21" max="21" width="10.7109375" style="137" customWidth="1"/>
    <col min="22" max="22" width="15.7109375" style="134" hidden="1" customWidth="1"/>
    <col min="23" max="23" width="5.7109375" style="134" customWidth="1"/>
    <col min="24" max="24" width="10.7109375" style="135" customWidth="1"/>
    <col min="25" max="30" width="15.7109375" style="137" hidden="1" customWidth="1"/>
    <col min="31" max="31" width="15.7109375" style="140" hidden="1" customWidth="1"/>
    <col min="32" max="55" width="15.7109375" style="134" hidden="1" customWidth="1"/>
    <col min="56" max="56" width="2.7109375" style="134" customWidth="1"/>
    <col min="57" max="296" width="3.7109375" customWidth="1"/>
    <col min="297" max="16384" width="10.7109375" hidden="1"/>
  </cols>
  <sheetData>
    <row r="1" spans="1:306" hidden="1" x14ac:dyDescent="0.25">
      <c r="A1" s="134" t="s">
        <v>234</v>
      </c>
      <c r="B1" s="134" t="s">
        <v>226</v>
      </c>
      <c r="C1" s="134" t="s">
        <v>227</v>
      </c>
      <c r="D1" s="134" t="s">
        <v>228</v>
      </c>
      <c r="E1" s="134" t="s">
        <v>229</v>
      </c>
      <c r="F1" s="134" t="s">
        <v>230</v>
      </c>
      <c r="G1" s="134" t="s">
        <v>160</v>
      </c>
      <c r="H1" s="134" t="s">
        <v>161</v>
      </c>
      <c r="I1" s="134" t="s">
        <v>231</v>
      </c>
      <c r="J1" s="136" t="s">
        <v>27</v>
      </c>
      <c r="K1" s="136" t="s">
        <v>26</v>
      </c>
      <c r="L1" s="138" t="s">
        <v>137</v>
      </c>
      <c r="M1" s="134" t="s">
        <v>138</v>
      </c>
      <c r="N1" s="136" t="s">
        <v>225</v>
      </c>
      <c r="O1" s="137" t="s">
        <v>232</v>
      </c>
      <c r="P1" s="137" t="s">
        <v>25</v>
      </c>
      <c r="Q1" s="137" t="s">
        <v>24</v>
      </c>
      <c r="R1" s="137" t="s">
        <v>23</v>
      </c>
      <c r="S1" s="137" t="s">
        <v>22</v>
      </c>
      <c r="T1" s="137" t="s">
        <v>20</v>
      </c>
      <c r="U1" s="137" t="s">
        <v>18</v>
      </c>
      <c r="V1" s="134" t="s">
        <v>223</v>
      </c>
      <c r="W1" s="134" t="s">
        <v>233</v>
      </c>
      <c r="X1" s="135" t="s">
        <v>17</v>
      </c>
      <c r="Y1" s="137" t="s">
        <v>21</v>
      </c>
      <c r="Z1" s="137" t="s">
        <v>19</v>
      </c>
      <c r="AA1" s="137" t="s">
        <v>16</v>
      </c>
      <c r="AB1" s="137" t="s">
        <v>15</v>
      </c>
      <c r="AC1" s="137" t="s">
        <v>14</v>
      </c>
      <c r="AD1" s="137" t="s">
        <v>13</v>
      </c>
      <c r="AE1" s="140" t="s">
        <v>12</v>
      </c>
      <c r="AF1" s="134" t="s">
        <v>162</v>
      </c>
      <c r="AG1" s="134" t="s">
        <v>163</v>
      </c>
      <c r="AH1" s="134" t="s">
        <v>164</v>
      </c>
      <c r="AI1" s="134" t="s">
        <v>165</v>
      </c>
      <c r="AJ1" s="134" t="s">
        <v>172</v>
      </c>
      <c r="AK1" s="134" t="s">
        <v>173</v>
      </c>
      <c r="AL1" s="134" t="s">
        <v>174</v>
      </c>
      <c r="AM1" s="134" t="s">
        <v>175</v>
      </c>
      <c r="AN1" s="134" t="s">
        <v>176</v>
      </c>
      <c r="AO1" s="134" t="s">
        <v>177</v>
      </c>
      <c r="AP1" s="134" t="s">
        <v>178</v>
      </c>
      <c r="AQ1" s="134" t="s">
        <v>179</v>
      </c>
      <c r="AR1" s="134" t="s">
        <v>180</v>
      </c>
      <c r="AS1" s="134" t="s">
        <v>181</v>
      </c>
      <c r="AT1" s="134" t="s">
        <v>182</v>
      </c>
      <c r="AU1" s="134" t="s">
        <v>183</v>
      </c>
      <c r="AV1" s="134" t="s">
        <v>184</v>
      </c>
      <c r="AW1" s="134" t="s">
        <v>185</v>
      </c>
      <c r="AX1" s="134" t="s">
        <v>186</v>
      </c>
      <c r="AY1" s="134" t="s">
        <v>187</v>
      </c>
      <c r="AZ1" s="134" t="s">
        <v>188</v>
      </c>
      <c r="BA1" s="134" t="s">
        <v>189</v>
      </c>
      <c r="BB1" s="134" t="s">
        <v>190</v>
      </c>
      <c r="BC1" s="134" t="s">
        <v>191</v>
      </c>
      <c r="BD1" s="134" t="s">
        <v>166</v>
      </c>
      <c r="BE1" t="s">
        <v>279</v>
      </c>
      <c r="KJ1" t="s">
        <v>280</v>
      </c>
    </row>
    <row r="2" spans="1:306" hidden="1" x14ac:dyDescent="0.25">
      <c r="A2" s="134" t="s">
        <v>263</v>
      </c>
      <c r="B2" s="134" t="s">
        <v>263</v>
      </c>
      <c r="C2" s="134" t="s">
        <v>263</v>
      </c>
      <c r="D2" s="134" t="s">
        <v>263</v>
      </c>
      <c r="E2" s="134" t="s">
        <v>263</v>
      </c>
      <c r="F2" s="134" t="s">
        <v>263</v>
      </c>
      <c r="G2" s="134" t="s">
        <v>263</v>
      </c>
      <c r="H2" s="134">
        <v>1</v>
      </c>
      <c r="I2" s="134" t="s">
        <v>263</v>
      </c>
      <c r="J2" s="136" t="s">
        <v>263</v>
      </c>
      <c r="K2" s="136" t="s">
        <v>263</v>
      </c>
      <c r="L2" s="138" t="s">
        <v>263</v>
      </c>
      <c r="M2" s="134" t="s">
        <v>263</v>
      </c>
      <c r="N2" s="136" t="s">
        <v>263</v>
      </c>
      <c r="O2" s="137" t="s">
        <v>263</v>
      </c>
      <c r="P2" s="137" t="s">
        <v>263</v>
      </c>
      <c r="Q2" s="137" t="s">
        <v>263</v>
      </c>
      <c r="R2" s="137" t="s">
        <v>263</v>
      </c>
      <c r="S2" s="137" t="s">
        <v>263</v>
      </c>
      <c r="T2" s="137" t="s">
        <v>263</v>
      </c>
      <c r="U2" s="137" t="s">
        <v>263</v>
      </c>
      <c r="V2" s="134" t="s">
        <v>263</v>
      </c>
      <c r="W2" s="134" t="s">
        <v>263</v>
      </c>
      <c r="X2" s="135" t="s">
        <v>263</v>
      </c>
      <c r="Y2" s="137" t="s">
        <v>263</v>
      </c>
      <c r="Z2" s="137" t="s">
        <v>263</v>
      </c>
      <c r="AA2" s="137" t="s">
        <v>263</v>
      </c>
      <c r="AB2" s="137" t="s">
        <v>263</v>
      </c>
      <c r="AC2" s="137" t="s">
        <v>263</v>
      </c>
      <c r="AD2" s="137" t="s">
        <v>263</v>
      </c>
      <c r="AE2" s="140" t="s">
        <v>263</v>
      </c>
      <c r="AF2" s="134" t="s">
        <v>263</v>
      </c>
      <c r="AG2" s="134" t="s">
        <v>263</v>
      </c>
      <c r="AH2" s="134" t="s">
        <v>263</v>
      </c>
      <c r="AI2" s="134" t="s">
        <v>263</v>
      </c>
      <c r="AJ2" s="134" t="s">
        <v>172</v>
      </c>
      <c r="AK2" s="134" t="s">
        <v>173</v>
      </c>
      <c r="AL2" s="134" t="s">
        <v>174</v>
      </c>
      <c r="AM2" s="134" t="s">
        <v>175</v>
      </c>
      <c r="AN2" s="134" t="s">
        <v>176</v>
      </c>
      <c r="AO2" s="134" t="s">
        <v>177</v>
      </c>
      <c r="AP2" s="134" t="s">
        <v>178</v>
      </c>
      <c r="AQ2" s="134" t="s">
        <v>179</v>
      </c>
      <c r="AR2" s="134" t="s">
        <v>180</v>
      </c>
      <c r="AS2" s="134" t="s">
        <v>181</v>
      </c>
      <c r="AT2" s="134" t="s">
        <v>182</v>
      </c>
      <c r="AU2" s="134" t="s">
        <v>183</v>
      </c>
      <c r="AV2" s="134" t="s">
        <v>184</v>
      </c>
      <c r="AW2" s="134" t="s">
        <v>185</v>
      </c>
      <c r="AX2" s="134" t="s">
        <v>186</v>
      </c>
      <c r="AY2" s="134" t="s">
        <v>187</v>
      </c>
      <c r="AZ2" s="134" t="s">
        <v>188</v>
      </c>
      <c r="BA2" s="134" t="s">
        <v>189</v>
      </c>
      <c r="BB2" s="134" t="s">
        <v>190</v>
      </c>
      <c r="BC2" s="134" t="s">
        <v>191</v>
      </c>
      <c r="BD2" s="134" t="s">
        <v>263</v>
      </c>
    </row>
    <row r="3" spans="1:306" hidden="1" x14ac:dyDescent="0.25"/>
    <row r="4" spans="1:306" hidden="1" x14ac:dyDescent="0.25"/>
    <row r="5" spans="1:306" hidden="1" x14ac:dyDescent="0.25"/>
    <row r="6" spans="1:306" ht="24" customHeight="1" x14ac:dyDescent="0.25">
      <c r="H6" s="141"/>
      <c r="I6" s="141"/>
      <c r="J6" s="162" t="s">
        <v>195</v>
      </c>
      <c r="K6" s="142"/>
      <c r="L6" s="143"/>
      <c r="M6" s="141"/>
      <c r="N6" s="142"/>
      <c r="O6" s="144"/>
      <c r="P6" s="144"/>
      <c r="Q6" s="144"/>
      <c r="R6" s="144"/>
      <c r="S6" s="144"/>
      <c r="T6" s="144"/>
      <c r="U6" s="144"/>
      <c r="V6" s="141"/>
      <c r="W6" s="141"/>
      <c r="X6" s="145"/>
      <c r="Y6" s="144"/>
      <c r="Z6" s="144"/>
      <c r="AA6" s="144"/>
      <c r="AB6" s="144"/>
      <c r="AC6" s="144"/>
      <c r="AD6" s="144"/>
      <c r="AE6" s="146"/>
      <c r="AF6" s="141"/>
      <c r="AG6" s="141"/>
      <c r="AH6" s="141"/>
      <c r="AI6" s="141"/>
      <c r="AJ6" s="141"/>
      <c r="AK6" s="141"/>
      <c r="AL6" s="141"/>
      <c r="AM6" s="141"/>
      <c r="AN6" s="141"/>
      <c r="AO6" s="141"/>
      <c r="AP6" s="141"/>
      <c r="AQ6" s="141"/>
      <c r="AR6" s="141"/>
      <c r="AS6" s="141"/>
      <c r="AT6" s="141"/>
      <c r="AU6" s="141"/>
      <c r="AV6" s="141"/>
      <c r="AW6" s="141"/>
      <c r="AX6" s="141"/>
      <c r="AY6" s="141"/>
      <c r="AZ6" s="141"/>
      <c r="BA6" s="141"/>
      <c r="BB6" s="141"/>
      <c r="BC6" s="141"/>
      <c r="BD6" s="141"/>
      <c r="BE6" s="147">
        <v>44669</v>
      </c>
      <c r="BF6" s="147">
        <v>44669.041666666664</v>
      </c>
      <c r="BG6" s="147">
        <v>44669.083333333336</v>
      </c>
      <c r="BH6" s="147">
        <v>44669.125</v>
      </c>
      <c r="BI6" s="147">
        <v>44669.166666666664</v>
      </c>
      <c r="BJ6" s="147">
        <v>44669.208333333336</v>
      </c>
      <c r="BK6" s="147">
        <v>44669.25</v>
      </c>
      <c r="BL6" s="147">
        <v>44669.291666666664</v>
      </c>
      <c r="BM6" s="147">
        <v>44669.333333333336</v>
      </c>
      <c r="BN6" s="147">
        <v>44669.375</v>
      </c>
      <c r="BO6" s="147">
        <v>44669.416666666664</v>
      </c>
      <c r="BP6" s="147">
        <v>44669.458333333336</v>
      </c>
      <c r="BQ6" s="147">
        <v>44669.5</v>
      </c>
      <c r="BR6" s="147">
        <v>44669.541666666664</v>
      </c>
      <c r="BS6" s="147">
        <v>44669.583333333336</v>
      </c>
      <c r="BT6" s="147">
        <v>44669.625</v>
      </c>
      <c r="BU6" s="147">
        <v>44669.666666666664</v>
      </c>
      <c r="BV6" s="147">
        <v>44669.708333333336</v>
      </c>
      <c r="BW6" s="147">
        <v>44669.75</v>
      </c>
      <c r="BX6" s="147">
        <v>44669.791666666664</v>
      </c>
      <c r="BY6" s="147">
        <v>44669.833333333336</v>
      </c>
      <c r="BZ6" s="147">
        <v>44669.875</v>
      </c>
      <c r="CA6" s="147">
        <v>44669.916666666664</v>
      </c>
      <c r="CB6" s="147">
        <v>44669.958333333336</v>
      </c>
      <c r="CC6" s="147">
        <v>44670</v>
      </c>
      <c r="CD6" s="147">
        <v>44670.041666666664</v>
      </c>
      <c r="CE6" s="147">
        <v>44670.083333333336</v>
      </c>
      <c r="CF6" s="147">
        <v>44670.125</v>
      </c>
      <c r="CG6" s="147">
        <v>44670.166666666664</v>
      </c>
      <c r="CH6" s="147">
        <v>44670.208333333336</v>
      </c>
      <c r="CI6" s="147">
        <v>44670.25</v>
      </c>
      <c r="CJ6" s="147">
        <v>44670.291666666664</v>
      </c>
      <c r="CK6" s="147">
        <v>44670.333333333336</v>
      </c>
      <c r="CL6" s="147">
        <v>44670.375</v>
      </c>
      <c r="CM6" s="147">
        <v>44670.416666666664</v>
      </c>
      <c r="CN6" s="147">
        <v>44670.458333333336</v>
      </c>
      <c r="CO6" s="147">
        <v>44670.5</v>
      </c>
      <c r="CP6" s="147">
        <v>44670.541666666664</v>
      </c>
      <c r="CQ6" s="147">
        <v>44670.583333333336</v>
      </c>
      <c r="CR6" s="147">
        <v>44670.625</v>
      </c>
      <c r="CS6" s="147">
        <v>44670.666666666664</v>
      </c>
      <c r="CT6" s="147">
        <v>44670.708333333336</v>
      </c>
      <c r="CU6" s="147">
        <v>44670.75</v>
      </c>
      <c r="CV6" s="147">
        <v>44670.791666666664</v>
      </c>
      <c r="CW6" s="147">
        <v>44670.833333333336</v>
      </c>
      <c r="CX6" s="147">
        <v>44670.875</v>
      </c>
      <c r="CY6" s="147">
        <v>44670.916666666664</v>
      </c>
      <c r="CZ6" s="147">
        <v>44670.958333333336</v>
      </c>
      <c r="DA6" s="147">
        <v>44671</v>
      </c>
      <c r="DB6" s="147">
        <v>44671.041666666664</v>
      </c>
      <c r="DC6" s="147">
        <v>44671.083333333336</v>
      </c>
      <c r="DD6" s="147">
        <v>44671.125</v>
      </c>
      <c r="DE6" s="147">
        <v>44671.166666666664</v>
      </c>
      <c r="DF6" s="147">
        <v>44671.208333333336</v>
      </c>
      <c r="DG6" s="147">
        <v>44671.25</v>
      </c>
      <c r="DH6" s="147">
        <v>44671.291666666664</v>
      </c>
      <c r="DI6" s="147">
        <v>44671.333333333336</v>
      </c>
      <c r="DJ6" s="147">
        <v>44671.375</v>
      </c>
      <c r="DK6" s="147">
        <v>44671.416666666664</v>
      </c>
      <c r="DL6" s="147">
        <v>44671.458333333336</v>
      </c>
      <c r="DM6" s="147">
        <v>44671.5</v>
      </c>
      <c r="DN6" s="147">
        <v>44671.541666666664</v>
      </c>
      <c r="DO6" s="147">
        <v>44671.583333333336</v>
      </c>
      <c r="DP6" s="147">
        <v>44671.625</v>
      </c>
      <c r="DQ6" s="147">
        <v>44671.666666666664</v>
      </c>
      <c r="DR6" s="147">
        <v>44671.708333333336</v>
      </c>
      <c r="DS6" s="147">
        <v>44671.75</v>
      </c>
      <c r="DT6" s="147">
        <v>44671.791666666664</v>
      </c>
      <c r="DU6" s="147">
        <v>44671.833333333336</v>
      </c>
      <c r="DV6" s="147">
        <v>44671.875</v>
      </c>
      <c r="DW6" s="147">
        <v>44671.916666666664</v>
      </c>
      <c r="DX6" s="147">
        <v>44671.958333333336</v>
      </c>
      <c r="DY6" s="147">
        <v>44672</v>
      </c>
      <c r="DZ6" s="147">
        <v>44672.041666666664</v>
      </c>
      <c r="EA6" s="147">
        <v>44672.083333333336</v>
      </c>
      <c r="EB6" s="147">
        <v>44672.125</v>
      </c>
      <c r="EC6" s="147">
        <v>44672.166666666664</v>
      </c>
      <c r="ED6" s="147">
        <v>44672.208333333336</v>
      </c>
      <c r="EE6" s="147">
        <v>44672.25</v>
      </c>
      <c r="EF6" s="147">
        <v>44672.291666666664</v>
      </c>
      <c r="EG6" s="147">
        <v>44672.333333333336</v>
      </c>
      <c r="EH6" s="147">
        <v>44672.375</v>
      </c>
      <c r="EI6" s="147">
        <v>44672.416666666664</v>
      </c>
      <c r="EJ6" s="147">
        <v>44672.458333333336</v>
      </c>
      <c r="EK6" s="147">
        <v>44672.5</v>
      </c>
      <c r="EL6" s="147">
        <v>44672.541666666664</v>
      </c>
      <c r="EM6" s="147">
        <v>44672.583333333336</v>
      </c>
      <c r="EN6" s="147">
        <v>44672.625</v>
      </c>
      <c r="EO6" s="147">
        <v>44672.666666666664</v>
      </c>
      <c r="EP6" s="147">
        <v>44672.708333333336</v>
      </c>
      <c r="EQ6" s="147">
        <v>44672.75</v>
      </c>
      <c r="ER6" s="147">
        <v>44672.791666666664</v>
      </c>
      <c r="ES6" s="147">
        <v>44672.833333333336</v>
      </c>
      <c r="ET6" s="147">
        <v>44672.875</v>
      </c>
      <c r="EU6" s="147">
        <v>44672.916666666664</v>
      </c>
      <c r="EV6" s="147">
        <v>44672.958333333336</v>
      </c>
      <c r="EW6" s="147">
        <v>44673</v>
      </c>
      <c r="EX6" s="147">
        <v>44673.041666666664</v>
      </c>
      <c r="EY6" s="147">
        <v>44673.083333333336</v>
      </c>
      <c r="EZ6" s="147">
        <v>44673.125</v>
      </c>
      <c r="FA6" s="147">
        <v>44673.166666666664</v>
      </c>
      <c r="FB6" s="147">
        <v>44673.208333333336</v>
      </c>
      <c r="FC6" s="147">
        <v>44673.25</v>
      </c>
      <c r="FD6" s="147">
        <v>44673.291666666664</v>
      </c>
      <c r="FE6" s="147">
        <v>44673.333333333336</v>
      </c>
      <c r="FF6" s="147">
        <v>44673.375</v>
      </c>
      <c r="FG6" s="147">
        <v>44673.416666666664</v>
      </c>
      <c r="FH6" s="147">
        <v>44673.458333333336</v>
      </c>
      <c r="FI6" s="147">
        <v>44673.5</v>
      </c>
      <c r="FJ6" s="147">
        <v>44673.541666666664</v>
      </c>
      <c r="FK6" s="147">
        <v>44673.583333333336</v>
      </c>
      <c r="FL6" s="147">
        <v>44673.625</v>
      </c>
      <c r="FM6" s="147">
        <v>44673.666666666664</v>
      </c>
      <c r="FN6" s="147">
        <v>44673.708333333336</v>
      </c>
      <c r="FO6" s="147">
        <v>44673.75</v>
      </c>
      <c r="FP6" s="147">
        <v>44673.791666666664</v>
      </c>
      <c r="FQ6" s="147">
        <v>44673.833333333336</v>
      </c>
      <c r="FR6" s="147">
        <v>44673.875</v>
      </c>
      <c r="FS6" s="147">
        <v>44673.916666666664</v>
      </c>
      <c r="FT6" s="147">
        <v>44673.958333333336</v>
      </c>
      <c r="FU6" s="147">
        <v>44674</v>
      </c>
      <c r="FV6" s="147">
        <v>44674.041666666664</v>
      </c>
      <c r="FW6" s="147">
        <v>44674.083333333336</v>
      </c>
      <c r="FX6" s="147">
        <v>44674.125</v>
      </c>
      <c r="FY6" s="147">
        <v>44674.166666666664</v>
      </c>
      <c r="FZ6" s="147">
        <v>44674.208333333336</v>
      </c>
      <c r="GA6" s="147">
        <v>44674.25</v>
      </c>
      <c r="GB6" s="147">
        <v>44674.291666666664</v>
      </c>
      <c r="GC6" s="147">
        <v>44674.333333333336</v>
      </c>
      <c r="GD6" s="147">
        <v>44674.375</v>
      </c>
      <c r="GE6" s="147">
        <v>44674.416666666664</v>
      </c>
      <c r="GF6" s="147">
        <v>44674.458333333336</v>
      </c>
      <c r="GG6" s="147">
        <v>44674.5</v>
      </c>
      <c r="GH6" s="147">
        <v>44674.541666666664</v>
      </c>
      <c r="GI6" s="147">
        <v>44674.583333333336</v>
      </c>
      <c r="GJ6" s="147">
        <v>44674.625</v>
      </c>
      <c r="GK6" s="147">
        <v>44674.666666666664</v>
      </c>
      <c r="GL6" s="147">
        <v>44674.708333333336</v>
      </c>
      <c r="GM6" s="147">
        <v>44674.75</v>
      </c>
      <c r="GN6" s="147">
        <v>44674.791666666664</v>
      </c>
      <c r="GO6" s="147">
        <v>44674.833333333336</v>
      </c>
      <c r="GP6" s="147">
        <v>44674.875</v>
      </c>
      <c r="GQ6" s="147">
        <v>44674.916666666664</v>
      </c>
      <c r="GR6" s="147">
        <v>44674.958333333336</v>
      </c>
      <c r="GS6" s="147">
        <v>44675</v>
      </c>
      <c r="GT6" s="147">
        <v>44675.041666666664</v>
      </c>
      <c r="GU6" s="147">
        <v>44675.083333333336</v>
      </c>
      <c r="GV6" s="147">
        <v>44675.125</v>
      </c>
      <c r="GW6" s="147">
        <v>44675.166666666664</v>
      </c>
      <c r="GX6" s="147">
        <v>44675.208333333336</v>
      </c>
      <c r="GY6" s="147">
        <v>44675.25</v>
      </c>
      <c r="GZ6" s="147">
        <v>44675.291666666664</v>
      </c>
      <c r="HA6" s="147">
        <v>44675.333333333336</v>
      </c>
      <c r="HB6" s="147">
        <v>44675.375</v>
      </c>
      <c r="HC6" s="147">
        <v>44675.416666666664</v>
      </c>
      <c r="HD6" s="147">
        <v>44675.458333333336</v>
      </c>
      <c r="HE6" s="147">
        <v>44675.5</v>
      </c>
      <c r="HF6" s="147">
        <v>44675.541666666664</v>
      </c>
      <c r="HG6" s="147">
        <v>44675.583333333336</v>
      </c>
      <c r="HH6" s="147">
        <v>44675.625</v>
      </c>
      <c r="HI6" s="147">
        <v>44675.666666666664</v>
      </c>
      <c r="HJ6" s="147">
        <v>44675.708333333336</v>
      </c>
      <c r="HK6" s="147">
        <v>44675.75</v>
      </c>
      <c r="HL6" s="147">
        <v>44675.791666666664</v>
      </c>
      <c r="HM6" s="147">
        <v>44675.833333333336</v>
      </c>
      <c r="HN6" s="147">
        <v>44675.875</v>
      </c>
      <c r="HO6" s="147">
        <v>44675.916666666664</v>
      </c>
      <c r="HP6" s="147">
        <v>44675.958333333336</v>
      </c>
      <c r="HQ6" s="147">
        <v>44676</v>
      </c>
      <c r="HR6" s="147">
        <v>44676.041666666664</v>
      </c>
      <c r="HS6" s="147">
        <v>44676.083333333336</v>
      </c>
      <c r="HT6" s="147">
        <v>44676.125</v>
      </c>
      <c r="HU6" s="147">
        <v>44676.166666666664</v>
      </c>
      <c r="HV6" s="147">
        <v>44676.208333333336</v>
      </c>
      <c r="HW6" s="147">
        <v>44676.25</v>
      </c>
      <c r="HX6" s="147">
        <v>44676.291666666664</v>
      </c>
      <c r="HY6" s="147">
        <v>44676.333333333336</v>
      </c>
      <c r="HZ6" s="147">
        <v>44676.375</v>
      </c>
      <c r="IA6" s="147">
        <v>44676.416666666664</v>
      </c>
      <c r="IB6" s="147">
        <v>44676.458333333336</v>
      </c>
      <c r="IC6" s="147">
        <v>44676.5</v>
      </c>
      <c r="ID6" s="147">
        <v>44676.541666666664</v>
      </c>
      <c r="IE6" s="147">
        <v>44676.583333333336</v>
      </c>
      <c r="IF6" s="147">
        <v>44676.625</v>
      </c>
      <c r="IG6" s="147">
        <v>44676.666666666664</v>
      </c>
      <c r="IH6" s="147">
        <v>44676.708333333336</v>
      </c>
      <c r="II6" s="147">
        <v>44676.75</v>
      </c>
      <c r="IJ6" s="147">
        <v>44676.791666666664</v>
      </c>
      <c r="IK6" s="147">
        <v>44676.833333333336</v>
      </c>
      <c r="IL6" s="147">
        <v>44676.875</v>
      </c>
      <c r="IM6" s="147">
        <v>44676.916666666664</v>
      </c>
      <c r="IN6" s="147">
        <v>44676.958333333336</v>
      </c>
      <c r="IO6" s="147">
        <v>44677</v>
      </c>
      <c r="IP6" s="147">
        <v>44677.041666666664</v>
      </c>
      <c r="IQ6" s="147">
        <v>44677.083333333336</v>
      </c>
      <c r="IR6" s="147">
        <v>44677.125</v>
      </c>
      <c r="IS6" s="147">
        <v>44677.166666666664</v>
      </c>
      <c r="IT6" s="147">
        <v>44677.208333333336</v>
      </c>
      <c r="IU6" s="147">
        <v>44677.25</v>
      </c>
      <c r="IV6" s="147">
        <v>44677.291666666664</v>
      </c>
      <c r="IW6" s="147">
        <v>44677.333333333336</v>
      </c>
      <c r="IX6" s="147">
        <v>44677.375</v>
      </c>
      <c r="IY6" s="147">
        <v>44677.416666666664</v>
      </c>
      <c r="IZ6" s="147">
        <v>44677.458333333336</v>
      </c>
      <c r="JA6" s="147">
        <v>44677.5</v>
      </c>
      <c r="JB6" s="147">
        <v>44677.541666666664</v>
      </c>
      <c r="JC6" s="147">
        <v>44677.583333333336</v>
      </c>
      <c r="JD6" s="147">
        <v>44677.625</v>
      </c>
      <c r="JE6" s="147">
        <v>44677.666666666664</v>
      </c>
      <c r="JF6" s="147">
        <v>44677.708333333336</v>
      </c>
      <c r="JG6" s="147">
        <v>44677.75</v>
      </c>
      <c r="JH6" s="147">
        <v>44677.791666666664</v>
      </c>
      <c r="JI6" s="147">
        <v>44677.833333333336</v>
      </c>
      <c r="JJ6" s="147">
        <v>44677.875</v>
      </c>
      <c r="JK6" s="147">
        <v>44677.916666666664</v>
      </c>
      <c r="JL6" s="147">
        <v>44677.958333333336</v>
      </c>
      <c r="JM6" s="147">
        <v>44678</v>
      </c>
      <c r="JN6" s="147">
        <v>44678.041666666664</v>
      </c>
      <c r="JO6" s="147">
        <v>44678.083333333336</v>
      </c>
      <c r="JP6" s="147">
        <v>44678.125</v>
      </c>
      <c r="JQ6" s="147">
        <v>44678.166666666664</v>
      </c>
      <c r="JR6" s="147">
        <v>44678.208333333336</v>
      </c>
      <c r="JS6" s="147">
        <v>44678.25</v>
      </c>
      <c r="JT6" s="147">
        <v>44678.291666666664</v>
      </c>
      <c r="JU6" s="147">
        <v>44678.333333333336</v>
      </c>
      <c r="JV6" s="147">
        <v>44678.375</v>
      </c>
      <c r="JW6" s="147">
        <v>44678.416666666664</v>
      </c>
      <c r="JX6" s="147">
        <v>44678.458333333336</v>
      </c>
      <c r="JY6" s="147">
        <v>44678.5</v>
      </c>
      <c r="JZ6" s="147">
        <v>44678.541666666664</v>
      </c>
      <c r="KA6" s="147">
        <v>44678.583333333336</v>
      </c>
      <c r="KB6" s="147">
        <v>44678.625</v>
      </c>
      <c r="KC6" s="147">
        <v>44678.666666666664</v>
      </c>
      <c r="KD6" s="147">
        <v>44678.708333333336</v>
      </c>
      <c r="KE6" s="147">
        <v>44678.75</v>
      </c>
      <c r="KF6" s="147">
        <v>44678.791666666664</v>
      </c>
      <c r="KG6" s="147">
        <v>44678.833333333336</v>
      </c>
      <c r="KH6" s="147">
        <v>44678.875</v>
      </c>
      <c r="KI6" s="147">
        <v>44678.916666666664</v>
      </c>
      <c r="KJ6" s="147">
        <v>44678.958333333336</v>
      </c>
    </row>
    <row r="7" spans="1:306" x14ac:dyDescent="0.25">
      <c r="J7" s="139" t="s">
        <v>309</v>
      </c>
      <c r="BE7" s="152" t="s">
        <v>314</v>
      </c>
      <c r="BF7" s="153"/>
      <c r="BG7" s="153"/>
      <c r="BH7" s="153"/>
      <c r="BI7" s="153"/>
      <c r="BJ7" s="153"/>
      <c r="BK7" s="153"/>
      <c r="BL7" s="153"/>
      <c r="BM7" s="153"/>
      <c r="BN7" s="153"/>
      <c r="BO7" s="153"/>
      <c r="BP7" s="153"/>
      <c r="BQ7" s="153"/>
      <c r="BR7" s="153"/>
      <c r="BS7" s="153"/>
      <c r="BT7" s="153"/>
      <c r="BU7" s="153"/>
      <c r="BV7" s="153"/>
      <c r="BW7" s="153"/>
      <c r="BX7" s="153"/>
      <c r="BY7" s="153"/>
      <c r="BZ7" s="153"/>
      <c r="CA7" s="153"/>
      <c r="CB7" s="153"/>
      <c r="CC7" s="150" t="s">
        <v>315</v>
      </c>
      <c r="CD7" s="151"/>
      <c r="CE7" s="151"/>
      <c r="CF7" s="151"/>
      <c r="CG7" s="151"/>
      <c r="CH7" s="151"/>
      <c r="CI7" s="151"/>
      <c r="CJ7" s="151"/>
      <c r="CK7" s="151"/>
      <c r="CL7" s="151"/>
      <c r="CM7" s="151"/>
      <c r="CN7" s="151"/>
      <c r="CO7" s="151"/>
      <c r="CP7" s="151"/>
      <c r="CQ7" s="151"/>
      <c r="CR7" s="151"/>
      <c r="CS7" s="151"/>
      <c r="CT7" s="151"/>
      <c r="CU7" s="151"/>
      <c r="CV7" s="151"/>
      <c r="CW7" s="151"/>
      <c r="CX7" s="151"/>
      <c r="CY7" s="151"/>
      <c r="CZ7" s="151"/>
      <c r="DA7" s="152" t="s">
        <v>316</v>
      </c>
      <c r="DB7" s="153"/>
      <c r="DC7" s="153"/>
      <c r="DD7" s="153"/>
      <c r="DE7" s="153"/>
      <c r="DF7" s="153"/>
      <c r="DG7" s="153"/>
      <c r="DH7" s="153"/>
      <c r="DI7" s="153"/>
      <c r="DJ7" s="153"/>
      <c r="DK7" s="153"/>
      <c r="DL7" s="153"/>
      <c r="DM7" s="153"/>
      <c r="DN7" s="153"/>
      <c r="DO7" s="153"/>
      <c r="DP7" s="153"/>
      <c r="DQ7" s="153"/>
      <c r="DR7" s="153"/>
      <c r="DS7" s="153"/>
      <c r="DT7" s="153"/>
      <c r="DU7" s="153"/>
      <c r="DV7" s="153"/>
      <c r="DW7" s="153"/>
      <c r="DX7" s="153"/>
      <c r="DY7" s="150" t="s">
        <v>317</v>
      </c>
      <c r="DZ7" s="151"/>
      <c r="EA7" s="151"/>
      <c r="EB7" s="151"/>
      <c r="EC7" s="151"/>
      <c r="ED7" s="151"/>
      <c r="EE7" s="151"/>
      <c r="EF7" s="151"/>
      <c r="EG7" s="151"/>
      <c r="EH7" s="151"/>
      <c r="EI7" s="151"/>
      <c r="EJ7" s="151"/>
      <c r="EK7" s="151"/>
      <c r="EL7" s="151"/>
      <c r="EM7" s="151"/>
      <c r="EN7" s="151"/>
      <c r="EO7" s="151"/>
      <c r="EP7" s="151"/>
      <c r="EQ7" s="151"/>
      <c r="ER7" s="151"/>
      <c r="ES7" s="151"/>
      <c r="ET7" s="151"/>
      <c r="EU7" s="151"/>
      <c r="EV7" s="151"/>
      <c r="EW7" s="152" t="s">
        <v>318</v>
      </c>
      <c r="EX7" s="153"/>
      <c r="EY7" s="153"/>
      <c r="EZ7" s="153"/>
      <c r="FA7" s="153"/>
      <c r="FB7" s="153"/>
      <c r="FC7" s="153"/>
      <c r="FD7" s="153"/>
      <c r="FE7" s="153"/>
      <c r="FF7" s="153"/>
      <c r="FG7" s="153"/>
      <c r="FH7" s="153"/>
      <c r="FI7" s="153"/>
      <c r="FJ7" s="153"/>
      <c r="FK7" s="153"/>
      <c r="FL7" s="153"/>
      <c r="FM7" s="153"/>
      <c r="FN7" s="153"/>
      <c r="FO7" s="153"/>
      <c r="FP7" s="153"/>
      <c r="FQ7" s="153"/>
      <c r="FR7" s="153"/>
      <c r="FS7" s="153"/>
      <c r="FT7" s="153"/>
      <c r="FU7" s="148" t="s">
        <v>319</v>
      </c>
      <c r="FV7" s="149"/>
      <c r="FW7" s="149"/>
      <c r="FX7" s="149"/>
      <c r="FY7" s="149"/>
      <c r="FZ7" s="149"/>
      <c r="GA7" s="149"/>
      <c r="GB7" s="149"/>
      <c r="GC7" s="149"/>
      <c r="GD7" s="149"/>
      <c r="GE7" s="149"/>
      <c r="GF7" s="149"/>
      <c r="GG7" s="149"/>
      <c r="GH7" s="149"/>
      <c r="GI7" s="149"/>
      <c r="GJ7" s="149"/>
      <c r="GK7" s="149"/>
      <c r="GL7" s="149"/>
      <c r="GM7" s="149"/>
      <c r="GN7" s="149"/>
      <c r="GO7" s="149"/>
      <c r="GP7" s="149"/>
      <c r="GQ7" s="149"/>
      <c r="GR7" s="149"/>
      <c r="GS7" s="148" t="s">
        <v>320</v>
      </c>
      <c r="GT7" s="149"/>
      <c r="GU7" s="149"/>
      <c r="GV7" s="149"/>
      <c r="GW7" s="149"/>
      <c r="GX7" s="149"/>
      <c r="GY7" s="149"/>
      <c r="GZ7" s="149"/>
      <c r="HA7" s="149"/>
      <c r="HB7" s="149"/>
      <c r="HC7" s="149"/>
      <c r="HD7" s="149"/>
      <c r="HE7" s="149"/>
      <c r="HF7" s="149"/>
      <c r="HG7" s="149"/>
      <c r="HH7" s="149"/>
      <c r="HI7" s="149"/>
      <c r="HJ7" s="149"/>
      <c r="HK7" s="149"/>
      <c r="HL7" s="149"/>
      <c r="HM7" s="149"/>
      <c r="HN7" s="149"/>
      <c r="HO7" s="149"/>
      <c r="HP7" s="149"/>
      <c r="HQ7" s="150" t="s">
        <v>321</v>
      </c>
      <c r="HR7" s="151"/>
      <c r="HS7" s="151"/>
      <c r="HT7" s="151"/>
      <c r="HU7" s="151"/>
      <c r="HV7" s="151"/>
      <c r="HW7" s="151"/>
      <c r="HX7" s="151"/>
      <c r="HY7" s="151"/>
      <c r="HZ7" s="151"/>
      <c r="IA7" s="151"/>
      <c r="IB7" s="151"/>
      <c r="IC7" s="151"/>
      <c r="ID7" s="151"/>
      <c r="IE7" s="151"/>
      <c r="IF7" s="151"/>
      <c r="IG7" s="151"/>
      <c r="IH7" s="151"/>
      <c r="II7" s="151"/>
      <c r="IJ7" s="151"/>
      <c r="IK7" s="151"/>
      <c r="IL7" s="151"/>
      <c r="IM7" s="151"/>
      <c r="IN7" s="151"/>
      <c r="IO7" s="152" t="s">
        <v>322</v>
      </c>
      <c r="IP7" s="153"/>
      <c r="IQ7" s="153"/>
      <c r="IR7" s="153"/>
      <c r="IS7" s="153"/>
      <c r="IT7" s="153"/>
      <c r="IU7" s="153"/>
      <c r="IV7" s="153"/>
      <c r="IW7" s="153"/>
      <c r="IX7" s="153"/>
      <c r="IY7" s="153"/>
      <c r="IZ7" s="153"/>
      <c r="JA7" s="153"/>
      <c r="JB7" s="153"/>
      <c r="JC7" s="153"/>
      <c r="JD7" s="153"/>
      <c r="JE7" s="153"/>
      <c r="JF7" s="153"/>
      <c r="JG7" s="153"/>
      <c r="JH7" s="153"/>
      <c r="JI7" s="153"/>
      <c r="JJ7" s="153"/>
      <c r="JK7" s="153"/>
      <c r="JL7" s="153"/>
      <c r="JM7" s="150" t="s">
        <v>323</v>
      </c>
      <c r="JN7" s="151"/>
      <c r="JO7" s="151"/>
      <c r="JP7" s="151"/>
      <c r="JQ7" s="151"/>
      <c r="JR7" s="151"/>
      <c r="JS7" s="151"/>
      <c r="JT7" s="151"/>
      <c r="JU7" s="151"/>
      <c r="JV7" s="151"/>
      <c r="JW7" s="151"/>
      <c r="JX7" s="151"/>
      <c r="JY7" s="151"/>
      <c r="JZ7" s="151"/>
      <c r="KA7" s="151"/>
      <c r="KB7" s="151"/>
      <c r="KC7" s="151"/>
      <c r="KD7" s="151"/>
      <c r="KE7" s="151"/>
      <c r="KF7" s="151"/>
      <c r="KG7" s="151"/>
      <c r="KH7" s="151"/>
      <c r="KI7" s="151"/>
      <c r="KJ7" s="151"/>
    </row>
    <row r="8" spans="1:306" x14ac:dyDescent="0.25">
      <c r="H8" s="174"/>
      <c r="I8" s="174"/>
      <c r="J8" s="175" t="s">
        <v>310</v>
      </c>
      <c r="K8" s="176"/>
      <c r="L8" s="177"/>
      <c r="M8" s="174"/>
      <c r="N8" s="176"/>
      <c r="O8" s="178"/>
      <c r="P8" s="178"/>
      <c r="Q8" s="178"/>
      <c r="R8" s="178"/>
      <c r="S8" s="178"/>
      <c r="T8" s="178"/>
      <c r="U8" s="178"/>
      <c r="V8" s="174"/>
      <c r="W8" s="174"/>
      <c r="X8" s="179"/>
      <c r="Y8" s="178"/>
      <c r="Z8" s="178"/>
      <c r="AA8" s="178"/>
      <c r="AB8" s="178"/>
      <c r="AC8" s="178"/>
      <c r="AD8" s="178"/>
      <c r="AE8" s="180"/>
      <c r="AF8" s="174"/>
      <c r="AG8" s="174"/>
      <c r="AH8" s="174"/>
      <c r="AI8" s="174"/>
      <c r="AJ8" s="174"/>
      <c r="AK8" s="174"/>
      <c r="AL8" s="174"/>
      <c r="AM8" s="174"/>
      <c r="AN8" s="174"/>
      <c r="AO8" s="174"/>
      <c r="AP8" s="174"/>
      <c r="AQ8" s="174"/>
      <c r="AR8" s="174"/>
      <c r="AS8" s="174"/>
      <c r="AT8" s="174"/>
      <c r="AU8" s="174"/>
      <c r="AV8" s="174"/>
      <c r="AW8" s="174"/>
      <c r="AX8" s="174"/>
      <c r="AY8" s="174"/>
      <c r="AZ8" s="174"/>
      <c r="BA8" s="174"/>
      <c r="BB8" s="174"/>
      <c r="BC8" s="174"/>
      <c r="BD8" s="181"/>
      <c r="BE8" s="182">
        <v>0</v>
      </c>
      <c r="BF8" s="182">
        <v>1</v>
      </c>
      <c r="BG8" s="182">
        <v>2</v>
      </c>
      <c r="BH8" s="182">
        <v>3</v>
      </c>
      <c r="BI8" s="182">
        <v>4</v>
      </c>
      <c r="BJ8" s="182">
        <v>5</v>
      </c>
      <c r="BK8" s="182">
        <v>6</v>
      </c>
      <c r="BL8" s="182">
        <v>7</v>
      </c>
      <c r="BM8" s="182">
        <v>8</v>
      </c>
      <c r="BN8" s="182">
        <v>9</v>
      </c>
      <c r="BO8" s="182">
        <v>10</v>
      </c>
      <c r="BP8" s="182">
        <v>11</v>
      </c>
      <c r="BQ8" s="182">
        <v>12</v>
      </c>
      <c r="BR8" s="182">
        <v>13</v>
      </c>
      <c r="BS8" s="182">
        <v>14</v>
      </c>
      <c r="BT8" s="182">
        <v>15</v>
      </c>
      <c r="BU8" s="182">
        <v>16</v>
      </c>
      <c r="BV8" s="182">
        <v>17</v>
      </c>
      <c r="BW8" s="182">
        <v>18</v>
      </c>
      <c r="BX8" s="182">
        <v>19</v>
      </c>
      <c r="BY8" s="182">
        <v>20</v>
      </c>
      <c r="BZ8" s="182">
        <v>21</v>
      </c>
      <c r="CA8" s="182">
        <v>22</v>
      </c>
      <c r="CB8" s="182">
        <v>23</v>
      </c>
      <c r="CC8" s="182">
        <v>0</v>
      </c>
      <c r="CD8" s="182">
        <v>1</v>
      </c>
      <c r="CE8" s="182">
        <v>2</v>
      </c>
      <c r="CF8" s="182">
        <v>3</v>
      </c>
      <c r="CG8" s="182">
        <v>4</v>
      </c>
      <c r="CH8" s="182">
        <v>5</v>
      </c>
      <c r="CI8" s="182">
        <v>6</v>
      </c>
      <c r="CJ8" s="182">
        <v>7</v>
      </c>
      <c r="CK8" s="182">
        <v>8</v>
      </c>
      <c r="CL8" s="182">
        <v>9</v>
      </c>
      <c r="CM8" s="182">
        <v>10</v>
      </c>
      <c r="CN8" s="182">
        <v>11</v>
      </c>
      <c r="CO8" s="182">
        <v>12</v>
      </c>
      <c r="CP8" s="182">
        <v>13</v>
      </c>
      <c r="CQ8" s="182">
        <v>14</v>
      </c>
      <c r="CR8" s="182">
        <v>15</v>
      </c>
      <c r="CS8" s="182">
        <v>16</v>
      </c>
      <c r="CT8" s="182">
        <v>17</v>
      </c>
      <c r="CU8" s="182">
        <v>18</v>
      </c>
      <c r="CV8" s="182">
        <v>19</v>
      </c>
      <c r="CW8" s="182">
        <v>20</v>
      </c>
      <c r="CX8" s="182">
        <v>21</v>
      </c>
      <c r="CY8" s="182">
        <v>22</v>
      </c>
      <c r="CZ8" s="182">
        <v>23</v>
      </c>
      <c r="DA8" s="182">
        <v>0</v>
      </c>
      <c r="DB8" s="182">
        <v>1</v>
      </c>
      <c r="DC8" s="182">
        <v>2</v>
      </c>
      <c r="DD8" s="182">
        <v>3</v>
      </c>
      <c r="DE8" s="182">
        <v>4</v>
      </c>
      <c r="DF8" s="182">
        <v>5</v>
      </c>
      <c r="DG8" s="182">
        <v>6</v>
      </c>
      <c r="DH8" s="182">
        <v>7</v>
      </c>
      <c r="DI8" s="182">
        <v>8</v>
      </c>
      <c r="DJ8" s="182">
        <v>9</v>
      </c>
      <c r="DK8" s="182">
        <v>10</v>
      </c>
      <c r="DL8" s="182">
        <v>11</v>
      </c>
      <c r="DM8" s="182">
        <v>12</v>
      </c>
      <c r="DN8" s="182">
        <v>13</v>
      </c>
      <c r="DO8" s="182">
        <v>14</v>
      </c>
      <c r="DP8" s="182">
        <v>15</v>
      </c>
      <c r="DQ8" s="182">
        <v>16</v>
      </c>
      <c r="DR8" s="182">
        <v>17</v>
      </c>
      <c r="DS8" s="182">
        <v>18</v>
      </c>
      <c r="DT8" s="182">
        <v>19</v>
      </c>
      <c r="DU8" s="182">
        <v>20</v>
      </c>
      <c r="DV8" s="182">
        <v>21</v>
      </c>
      <c r="DW8" s="182">
        <v>22</v>
      </c>
      <c r="DX8" s="182">
        <v>23</v>
      </c>
      <c r="DY8" s="182">
        <v>0</v>
      </c>
      <c r="DZ8" s="182">
        <v>1</v>
      </c>
      <c r="EA8" s="182">
        <v>2</v>
      </c>
      <c r="EB8" s="182">
        <v>3</v>
      </c>
      <c r="EC8" s="182">
        <v>4</v>
      </c>
      <c r="ED8" s="182">
        <v>5</v>
      </c>
      <c r="EE8" s="182">
        <v>6</v>
      </c>
      <c r="EF8" s="182">
        <v>7</v>
      </c>
      <c r="EG8" s="182">
        <v>8</v>
      </c>
      <c r="EH8" s="182">
        <v>9</v>
      </c>
      <c r="EI8" s="182">
        <v>10</v>
      </c>
      <c r="EJ8" s="182">
        <v>11</v>
      </c>
      <c r="EK8" s="182">
        <v>12</v>
      </c>
      <c r="EL8" s="182">
        <v>13</v>
      </c>
      <c r="EM8" s="182">
        <v>14</v>
      </c>
      <c r="EN8" s="182">
        <v>15</v>
      </c>
      <c r="EO8" s="182">
        <v>16</v>
      </c>
      <c r="EP8" s="182">
        <v>17</v>
      </c>
      <c r="EQ8" s="182">
        <v>18</v>
      </c>
      <c r="ER8" s="182">
        <v>19</v>
      </c>
      <c r="ES8" s="182">
        <v>20</v>
      </c>
      <c r="ET8" s="182">
        <v>21</v>
      </c>
      <c r="EU8" s="182">
        <v>22</v>
      </c>
      <c r="EV8" s="182">
        <v>23</v>
      </c>
      <c r="EW8" s="182">
        <v>0</v>
      </c>
      <c r="EX8" s="182">
        <v>1</v>
      </c>
      <c r="EY8" s="182">
        <v>2</v>
      </c>
      <c r="EZ8" s="182">
        <v>3</v>
      </c>
      <c r="FA8" s="182">
        <v>4</v>
      </c>
      <c r="FB8" s="182">
        <v>5</v>
      </c>
      <c r="FC8" s="182">
        <v>6</v>
      </c>
      <c r="FD8" s="182">
        <v>7</v>
      </c>
      <c r="FE8" s="182">
        <v>8</v>
      </c>
      <c r="FF8" s="182">
        <v>9</v>
      </c>
      <c r="FG8" s="182">
        <v>10</v>
      </c>
      <c r="FH8" s="182">
        <v>11</v>
      </c>
      <c r="FI8" s="182">
        <v>12</v>
      </c>
      <c r="FJ8" s="182">
        <v>13</v>
      </c>
      <c r="FK8" s="182">
        <v>14</v>
      </c>
      <c r="FL8" s="182">
        <v>15</v>
      </c>
      <c r="FM8" s="182">
        <v>16</v>
      </c>
      <c r="FN8" s="182">
        <v>17</v>
      </c>
      <c r="FO8" s="182">
        <v>18</v>
      </c>
      <c r="FP8" s="182">
        <v>19</v>
      </c>
      <c r="FQ8" s="182">
        <v>20</v>
      </c>
      <c r="FR8" s="182">
        <v>21</v>
      </c>
      <c r="FS8" s="182">
        <v>22</v>
      </c>
      <c r="FT8" s="182">
        <v>23</v>
      </c>
      <c r="FU8" s="182">
        <v>0</v>
      </c>
      <c r="FV8" s="182">
        <v>1</v>
      </c>
      <c r="FW8" s="182">
        <v>2</v>
      </c>
      <c r="FX8" s="182">
        <v>3</v>
      </c>
      <c r="FY8" s="182">
        <v>4</v>
      </c>
      <c r="FZ8" s="182">
        <v>5</v>
      </c>
      <c r="GA8" s="182">
        <v>6</v>
      </c>
      <c r="GB8" s="182">
        <v>7</v>
      </c>
      <c r="GC8" s="182">
        <v>8</v>
      </c>
      <c r="GD8" s="182">
        <v>9</v>
      </c>
      <c r="GE8" s="182">
        <v>10</v>
      </c>
      <c r="GF8" s="182">
        <v>11</v>
      </c>
      <c r="GG8" s="182">
        <v>12</v>
      </c>
      <c r="GH8" s="182">
        <v>13</v>
      </c>
      <c r="GI8" s="182">
        <v>14</v>
      </c>
      <c r="GJ8" s="182">
        <v>15</v>
      </c>
      <c r="GK8" s="182">
        <v>16</v>
      </c>
      <c r="GL8" s="182">
        <v>17</v>
      </c>
      <c r="GM8" s="182">
        <v>18</v>
      </c>
      <c r="GN8" s="182">
        <v>19</v>
      </c>
      <c r="GO8" s="182">
        <v>20</v>
      </c>
      <c r="GP8" s="182">
        <v>21</v>
      </c>
      <c r="GQ8" s="182">
        <v>22</v>
      </c>
      <c r="GR8" s="182">
        <v>23</v>
      </c>
      <c r="GS8" s="182">
        <v>0</v>
      </c>
      <c r="GT8" s="182">
        <v>1</v>
      </c>
      <c r="GU8" s="182">
        <v>2</v>
      </c>
      <c r="GV8" s="182">
        <v>3</v>
      </c>
      <c r="GW8" s="182">
        <v>4</v>
      </c>
      <c r="GX8" s="182">
        <v>5</v>
      </c>
      <c r="GY8" s="182">
        <v>6</v>
      </c>
      <c r="GZ8" s="182">
        <v>7</v>
      </c>
      <c r="HA8" s="182">
        <v>8</v>
      </c>
      <c r="HB8" s="182">
        <v>9</v>
      </c>
      <c r="HC8" s="182">
        <v>10</v>
      </c>
      <c r="HD8" s="182">
        <v>11</v>
      </c>
      <c r="HE8" s="182">
        <v>12</v>
      </c>
      <c r="HF8" s="182">
        <v>13</v>
      </c>
      <c r="HG8" s="182">
        <v>14</v>
      </c>
      <c r="HH8" s="182">
        <v>15</v>
      </c>
      <c r="HI8" s="182">
        <v>16</v>
      </c>
      <c r="HJ8" s="182">
        <v>17</v>
      </c>
      <c r="HK8" s="182">
        <v>18</v>
      </c>
      <c r="HL8" s="182">
        <v>19</v>
      </c>
      <c r="HM8" s="182">
        <v>20</v>
      </c>
      <c r="HN8" s="182">
        <v>21</v>
      </c>
      <c r="HO8" s="182">
        <v>22</v>
      </c>
      <c r="HP8" s="182">
        <v>23</v>
      </c>
      <c r="HQ8" s="182">
        <v>0</v>
      </c>
      <c r="HR8" s="182">
        <v>1</v>
      </c>
      <c r="HS8" s="182">
        <v>2</v>
      </c>
      <c r="HT8" s="182">
        <v>3</v>
      </c>
      <c r="HU8" s="182">
        <v>4</v>
      </c>
      <c r="HV8" s="182">
        <v>5</v>
      </c>
      <c r="HW8" s="182">
        <v>6</v>
      </c>
      <c r="HX8" s="182">
        <v>7</v>
      </c>
      <c r="HY8" s="182">
        <v>8</v>
      </c>
      <c r="HZ8" s="182">
        <v>9</v>
      </c>
      <c r="IA8" s="182">
        <v>10</v>
      </c>
      <c r="IB8" s="182">
        <v>11</v>
      </c>
      <c r="IC8" s="182">
        <v>12</v>
      </c>
      <c r="ID8" s="182">
        <v>13</v>
      </c>
      <c r="IE8" s="182">
        <v>14</v>
      </c>
      <c r="IF8" s="182">
        <v>15</v>
      </c>
      <c r="IG8" s="182">
        <v>16</v>
      </c>
      <c r="IH8" s="182">
        <v>17</v>
      </c>
      <c r="II8" s="182">
        <v>18</v>
      </c>
      <c r="IJ8" s="182">
        <v>19</v>
      </c>
      <c r="IK8" s="182">
        <v>20</v>
      </c>
      <c r="IL8" s="182">
        <v>21</v>
      </c>
      <c r="IM8" s="182">
        <v>22</v>
      </c>
      <c r="IN8" s="182">
        <v>23</v>
      </c>
      <c r="IO8" s="182">
        <v>0</v>
      </c>
      <c r="IP8" s="182">
        <v>1</v>
      </c>
      <c r="IQ8" s="182">
        <v>2</v>
      </c>
      <c r="IR8" s="182">
        <v>3</v>
      </c>
      <c r="IS8" s="182">
        <v>4</v>
      </c>
      <c r="IT8" s="182">
        <v>5</v>
      </c>
      <c r="IU8" s="182">
        <v>6</v>
      </c>
      <c r="IV8" s="182">
        <v>7</v>
      </c>
      <c r="IW8" s="182">
        <v>8</v>
      </c>
      <c r="IX8" s="182">
        <v>9</v>
      </c>
      <c r="IY8" s="182">
        <v>10</v>
      </c>
      <c r="IZ8" s="182">
        <v>11</v>
      </c>
      <c r="JA8" s="182">
        <v>12</v>
      </c>
      <c r="JB8" s="182">
        <v>13</v>
      </c>
      <c r="JC8" s="182">
        <v>14</v>
      </c>
      <c r="JD8" s="182">
        <v>15</v>
      </c>
      <c r="JE8" s="182">
        <v>16</v>
      </c>
      <c r="JF8" s="182">
        <v>17</v>
      </c>
      <c r="JG8" s="182">
        <v>18</v>
      </c>
      <c r="JH8" s="182">
        <v>19</v>
      </c>
      <c r="JI8" s="182">
        <v>20</v>
      </c>
      <c r="JJ8" s="182">
        <v>21</v>
      </c>
      <c r="JK8" s="182">
        <v>22</v>
      </c>
      <c r="JL8" s="182">
        <v>23</v>
      </c>
      <c r="JM8" s="182">
        <v>0</v>
      </c>
      <c r="JN8" s="182">
        <v>1</v>
      </c>
      <c r="JO8" s="182">
        <v>2</v>
      </c>
      <c r="JP8" s="182">
        <v>3</v>
      </c>
      <c r="JQ8" s="182">
        <v>4</v>
      </c>
      <c r="JR8" s="182">
        <v>5</v>
      </c>
      <c r="JS8" s="182">
        <v>6</v>
      </c>
      <c r="JT8" s="182">
        <v>7</v>
      </c>
      <c r="JU8" s="182">
        <v>8</v>
      </c>
      <c r="JV8" s="182">
        <v>9</v>
      </c>
      <c r="JW8" s="182">
        <v>10</v>
      </c>
      <c r="JX8" s="182">
        <v>11</v>
      </c>
      <c r="JY8" s="182">
        <v>12</v>
      </c>
      <c r="JZ8" s="182">
        <v>13</v>
      </c>
      <c r="KA8" s="182">
        <v>14</v>
      </c>
      <c r="KB8" s="182">
        <v>15</v>
      </c>
      <c r="KC8" s="182">
        <v>16</v>
      </c>
      <c r="KD8" s="182">
        <v>17</v>
      </c>
      <c r="KE8" s="182">
        <v>18</v>
      </c>
      <c r="KF8" s="182">
        <v>19</v>
      </c>
      <c r="KG8" s="182">
        <v>20</v>
      </c>
      <c r="KH8" s="182">
        <v>21</v>
      </c>
      <c r="KI8" s="182">
        <v>22</v>
      </c>
      <c r="KJ8" s="182">
        <v>23</v>
      </c>
      <c r="KK8" s="154"/>
    </row>
    <row r="9" spans="1:306" ht="24" customHeight="1" x14ac:dyDescent="0.25">
      <c r="A9" s="134" t="s">
        <v>234</v>
      </c>
      <c r="B9" s="134" t="s">
        <v>226</v>
      </c>
      <c r="C9" s="134" t="s">
        <v>227</v>
      </c>
      <c r="D9" s="134" t="s">
        <v>228</v>
      </c>
      <c r="E9" s="134" t="s">
        <v>229</v>
      </c>
      <c r="F9" s="134" t="s">
        <v>230</v>
      </c>
      <c r="G9" s="134" t="s">
        <v>160</v>
      </c>
      <c r="H9" s="155"/>
      <c r="I9" s="155"/>
      <c r="J9" s="155" t="s">
        <v>27</v>
      </c>
      <c r="K9" s="155" t="s">
        <v>26</v>
      </c>
      <c r="L9" s="155" t="s">
        <v>137</v>
      </c>
      <c r="M9" s="155" t="s">
        <v>138</v>
      </c>
      <c r="N9" s="155" t="s">
        <v>225</v>
      </c>
      <c r="O9" s="155" t="s">
        <v>232</v>
      </c>
      <c r="P9" s="155" t="s">
        <v>264</v>
      </c>
      <c r="Q9" s="155" t="s">
        <v>265</v>
      </c>
      <c r="R9" s="155" t="s">
        <v>266</v>
      </c>
      <c r="S9" s="155" t="s">
        <v>267</v>
      </c>
      <c r="T9" s="155" t="s">
        <v>268</v>
      </c>
      <c r="U9" s="155" t="s">
        <v>269</v>
      </c>
      <c r="V9" s="155" t="s">
        <v>223</v>
      </c>
      <c r="W9" s="155" t="s">
        <v>233</v>
      </c>
      <c r="X9" s="156" t="s">
        <v>270</v>
      </c>
      <c r="Y9" s="155" t="s">
        <v>271</v>
      </c>
      <c r="Z9" s="155" t="s">
        <v>272</v>
      </c>
      <c r="AA9" s="155" t="s">
        <v>273</v>
      </c>
      <c r="AB9" s="155" t="s">
        <v>192</v>
      </c>
      <c r="AC9" s="155" t="s">
        <v>274</v>
      </c>
      <c r="AD9" s="155" t="s">
        <v>193</v>
      </c>
      <c r="AE9" s="157" t="s">
        <v>12</v>
      </c>
      <c r="AF9" s="155" t="s">
        <v>275</v>
      </c>
      <c r="AG9" s="155" t="s">
        <v>276</v>
      </c>
      <c r="AH9" s="155" t="s">
        <v>277</v>
      </c>
      <c r="AI9" s="155" t="s">
        <v>278</v>
      </c>
      <c r="AJ9" s="155" t="s">
        <v>172</v>
      </c>
      <c r="AK9" s="155" t="s">
        <v>173</v>
      </c>
      <c r="AL9" s="155" t="s">
        <v>174</v>
      </c>
      <c r="AM9" s="155" t="s">
        <v>175</v>
      </c>
      <c r="AN9" s="155" t="s">
        <v>176</v>
      </c>
      <c r="AO9" s="155" t="s">
        <v>177</v>
      </c>
      <c r="AP9" s="155" t="s">
        <v>178</v>
      </c>
      <c r="AQ9" s="155" t="s">
        <v>179</v>
      </c>
      <c r="AR9" s="155" t="s">
        <v>180</v>
      </c>
      <c r="AS9" s="155" t="s">
        <v>181</v>
      </c>
      <c r="AT9" s="155" t="s">
        <v>182</v>
      </c>
      <c r="AU9" s="155" t="s">
        <v>183</v>
      </c>
      <c r="AV9" s="155" t="s">
        <v>184</v>
      </c>
      <c r="AW9" s="155" t="s">
        <v>185</v>
      </c>
      <c r="AX9" s="155" t="s">
        <v>186</v>
      </c>
      <c r="AY9" s="155" t="s">
        <v>187</v>
      </c>
      <c r="AZ9" s="155" t="s">
        <v>188</v>
      </c>
      <c r="BA9" s="155" t="s">
        <v>189</v>
      </c>
      <c r="BB9" s="155" t="s">
        <v>190</v>
      </c>
      <c r="BC9" s="155" t="s">
        <v>191</v>
      </c>
      <c r="BD9" s="158"/>
      <c r="BE9" s="159" t="s">
        <v>284</v>
      </c>
      <c r="BF9" s="159" t="s">
        <v>285</v>
      </c>
      <c r="BG9" s="159" t="s">
        <v>286</v>
      </c>
      <c r="BH9" s="159" t="s">
        <v>287</v>
      </c>
      <c r="BI9" s="159" t="s">
        <v>288</v>
      </c>
      <c r="BJ9" s="159" t="s">
        <v>289</v>
      </c>
      <c r="BK9" s="159" t="s">
        <v>290</v>
      </c>
      <c r="BL9" s="159" t="s">
        <v>291</v>
      </c>
      <c r="BM9" s="159" t="s">
        <v>292</v>
      </c>
      <c r="BN9" s="159" t="s">
        <v>293</v>
      </c>
      <c r="BO9" s="159" t="s">
        <v>294</v>
      </c>
      <c r="BP9" s="159" t="s">
        <v>295</v>
      </c>
      <c r="BQ9" s="159" t="s">
        <v>296</v>
      </c>
      <c r="BR9" s="159" t="s">
        <v>297</v>
      </c>
      <c r="BS9" s="159" t="s">
        <v>298</v>
      </c>
      <c r="BT9" s="159" t="s">
        <v>299</v>
      </c>
      <c r="BU9" s="159" t="s">
        <v>300</v>
      </c>
      <c r="BV9" s="159" t="s">
        <v>301</v>
      </c>
      <c r="BW9" s="159" t="s">
        <v>302</v>
      </c>
      <c r="BX9" s="159" t="s">
        <v>303</v>
      </c>
      <c r="BY9" s="159" t="s">
        <v>304</v>
      </c>
      <c r="BZ9" s="159" t="s">
        <v>305</v>
      </c>
      <c r="CA9" s="159" t="s">
        <v>306</v>
      </c>
      <c r="CB9" s="159" t="s">
        <v>307</v>
      </c>
      <c r="CC9" s="159" t="s">
        <v>284</v>
      </c>
      <c r="CD9" s="159" t="s">
        <v>285</v>
      </c>
      <c r="CE9" s="159" t="s">
        <v>286</v>
      </c>
      <c r="CF9" s="159" t="s">
        <v>287</v>
      </c>
      <c r="CG9" s="159" t="s">
        <v>288</v>
      </c>
      <c r="CH9" s="159" t="s">
        <v>289</v>
      </c>
      <c r="CI9" s="159" t="s">
        <v>290</v>
      </c>
      <c r="CJ9" s="159" t="s">
        <v>291</v>
      </c>
      <c r="CK9" s="159" t="s">
        <v>292</v>
      </c>
      <c r="CL9" s="159" t="s">
        <v>293</v>
      </c>
      <c r="CM9" s="159" t="s">
        <v>294</v>
      </c>
      <c r="CN9" s="159" t="s">
        <v>295</v>
      </c>
      <c r="CO9" s="159" t="s">
        <v>296</v>
      </c>
      <c r="CP9" s="159" t="s">
        <v>297</v>
      </c>
      <c r="CQ9" s="159" t="s">
        <v>298</v>
      </c>
      <c r="CR9" s="159" t="s">
        <v>299</v>
      </c>
      <c r="CS9" s="159" t="s">
        <v>300</v>
      </c>
      <c r="CT9" s="159" t="s">
        <v>301</v>
      </c>
      <c r="CU9" s="159" t="s">
        <v>302</v>
      </c>
      <c r="CV9" s="159" t="s">
        <v>303</v>
      </c>
      <c r="CW9" s="159" t="s">
        <v>304</v>
      </c>
      <c r="CX9" s="159" t="s">
        <v>305</v>
      </c>
      <c r="CY9" s="159" t="s">
        <v>306</v>
      </c>
      <c r="CZ9" s="159" t="s">
        <v>307</v>
      </c>
      <c r="DA9" s="159" t="s">
        <v>284</v>
      </c>
      <c r="DB9" s="159" t="s">
        <v>285</v>
      </c>
      <c r="DC9" s="159" t="s">
        <v>286</v>
      </c>
      <c r="DD9" s="159" t="s">
        <v>287</v>
      </c>
      <c r="DE9" s="159" t="s">
        <v>288</v>
      </c>
      <c r="DF9" s="159" t="s">
        <v>289</v>
      </c>
      <c r="DG9" s="159" t="s">
        <v>290</v>
      </c>
      <c r="DH9" s="159" t="s">
        <v>291</v>
      </c>
      <c r="DI9" s="159" t="s">
        <v>292</v>
      </c>
      <c r="DJ9" s="159" t="s">
        <v>293</v>
      </c>
      <c r="DK9" s="159" t="s">
        <v>294</v>
      </c>
      <c r="DL9" s="159" t="s">
        <v>295</v>
      </c>
      <c r="DM9" s="159" t="s">
        <v>296</v>
      </c>
      <c r="DN9" s="159" t="s">
        <v>297</v>
      </c>
      <c r="DO9" s="159" t="s">
        <v>298</v>
      </c>
      <c r="DP9" s="159" t="s">
        <v>299</v>
      </c>
      <c r="DQ9" s="159" t="s">
        <v>300</v>
      </c>
      <c r="DR9" s="159" t="s">
        <v>301</v>
      </c>
      <c r="DS9" s="159" t="s">
        <v>302</v>
      </c>
      <c r="DT9" s="159" t="s">
        <v>303</v>
      </c>
      <c r="DU9" s="159" t="s">
        <v>304</v>
      </c>
      <c r="DV9" s="159" t="s">
        <v>305</v>
      </c>
      <c r="DW9" s="159" t="s">
        <v>306</v>
      </c>
      <c r="DX9" s="159" t="s">
        <v>307</v>
      </c>
      <c r="DY9" s="159" t="s">
        <v>284</v>
      </c>
      <c r="DZ9" s="159" t="s">
        <v>285</v>
      </c>
      <c r="EA9" s="159" t="s">
        <v>286</v>
      </c>
      <c r="EB9" s="159" t="s">
        <v>287</v>
      </c>
      <c r="EC9" s="159" t="s">
        <v>288</v>
      </c>
      <c r="ED9" s="159" t="s">
        <v>289</v>
      </c>
      <c r="EE9" s="159" t="s">
        <v>290</v>
      </c>
      <c r="EF9" s="159" t="s">
        <v>291</v>
      </c>
      <c r="EG9" s="159" t="s">
        <v>292</v>
      </c>
      <c r="EH9" s="159" t="s">
        <v>293</v>
      </c>
      <c r="EI9" s="159" t="s">
        <v>294</v>
      </c>
      <c r="EJ9" s="159" t="s">
        <v>295</v>
      </c>
      <c r="EK9" s="159" t="s">
        <v>296</v>
      </c>
      <c r="EL9" s="159" t="s">
        <v>297</v>
      </c>
      <c r="EM9" s="159" t="s">
        <v>298</v>
      </c>
      <c r="EN9" s="159" t="s">
        <v>299</v>
      </c>
      <c r="EO9" s="159" t="s">
        <v>300</v>
      </c>
      <c r="EP9" s="159" t="s">
        <v>301</v>
      </c>
      <c r="EQ9" s="159" t="s">
        <v>302</v>
      </c>
      <c r="ER9" s="159" t="s">
        <v>303</v>
      </c>
      <c r="ES9" s="159" t="s">
        <v>304</v>
      </c>
      <c r="ET9" s="159" t="s">
        <v>305</v>
      </c>
      <c r="EU9" s="159" t="s">
        <v>306</v>
      </c>
      <c r="EV9" s="159" t="s">
        <v>307</v>
      </c>
      <c r="EW9" s="159" t="s">
        <v>284</v>
      </c>
      <c r="EX9" s="159" t="s">
        <v>285</v>
      </c>
      <c r="EY9" s="159" t="s">
        <v>286</v>
      </c>
      <c r="EZ9" s="159" t="s">
        <v>287</v>
      </c>
      <c r="FA9" s="159" t="s">
        <v>288</v>
      </c>
      <c r="FB9" s="159" t="s">
        <v>289</v>
      </c>
      <c r="FC9" s="159" t="s">
        <v>290</v>
      </c>
      <c r="FD9" s="159" t="s">
        <v>291</v>
      </c>
      <c r="FE9" s="159" t="s">
        <v>292</v>
      </c>
      <c r="FF9" s="159" t="s">
        <v>293</v>
      </c>
      <c r="FG9" s="159" t="s">
        <v>294</v>
      </c>
      <c r="FH9" s="159" t="s">
        <v>295</v>
      </c>
      <c r="FI9" s="159" t="s">
        <v>296</v>
      </c>
      <c r="FJ9" s="159" t="s">
        <v>297</v>
      </c>
      <c r="FK9" s="159" t="s">
        <v>298</v>
      </c>
      <c r="FL9" s="159" t="s">
        <v>299</v>
      </c>
      <c r="FM9" s="159" t="s">
        <v>300</v>
      </c>
      <c r="FN9" s="159" t="s">
        <v>301</v>
      </c>
      <c r="FO9" s="159" t="s">
        <v>302</v>
      </c>
      <c r="FP9" s="159" t="s">
        <v>303</v>
      </c>
      <c r="FQ9" s="159" t="s">
        <v>304</v>
      </c>
      <c r="FR9" s="159" t="s">
        <v>305</v>
      </c>
      <c r="FS9" s="159" t="s">
        <v>306</v>
      </c>
      <c r="FT9" s="159" t="s">
        <v>307</v>
      </c>
      <c r="FU9" s="159" t="s">
        <v>284</v>
      </c>
      <c r="FV9" s="159" t="s">
        <v>285</v>
      </c>
      <c r="FW9" s="159" t="s">
        <v>286</v>
      </c>
      <c r="FX9" s="159" t="s">
        <v>287</v>
      </c>
      <c r="FY9" s="159" t="s">
        <v>288</v>
      </c>
      <c r="FZ9" s="159" t="s">
        <v>289</v>
      </c>
      <c r="GA9" s="159" t="s">
        <v>290</v>
      </c>
      <c r="GB9" s="159" t="s">
        <v>291</v>
      </c>
      <c r="GC9" s="159" t="s">
        <v>292</v>
      </c>
      <c r="GD9" s="159" t="s">
        <v>293</v>
      </c>
      <c r="GE9" s="159" t="s">
        <v>294</v>
      </c>
      <c r="GF9" s="159" t="s">
        <v>295</v>
      </c>
      <c r="GG9" s="159" t="s">
        <v>296</v>
      </c>
      <c r="GH9" s="159" t="s">
        <v>297</v>
      </c>
      <c r="GI9" s="159" t="s">
        <v>298</v>
      </c>
      <c r="GJ9" s="159" t="s">
        <v>299</v>
      </c>
      <c r="GK9" s="159" t="s">
        <v>300</v>
      </c>
      <c r="GL9" s="159" t="s">
        <v>301</v>
      </c>
      <c r="GM9" s="159" t="s">
        <v>302</v>
      </c>
      <c r="GN9" s="159" t="s">
        <v>303</v>
      </c>
      <c r="GO9" s="159" t="s">
        <v>304</v>
      </c>
      <c r="GP9" s="159" t="s">
        <v>305</v>
      </c>
      <c r="GQ9" s="159" t="s">
        <v>306</v>
      </c>
      <c r="GR9" s="159" t="s">
        <v>307</v>
      </c>
      <c r="GS9" s="159" t="s">
        <v>284</v>
      </c>
      <c r="GT9" s="159" t="s">
        <v>285</v>
      </c>
      <c r="GU9" s="159" t="s">
        <v>286</v>
      </c>
      <c r="GV9" s="159" t="s">
        <v>287</v>
      </c>
      <c r="GW9" s="159" t="s">
        <v>288</v>
      </c>
      <c r="GX9" s="159" t="s">
        <v>289</v>
      </c>
      <c r="GY9" s="159" t="s">
        <v>290</v>
      </c>
      <c r="GZ9" s="159" t="s">
        <v>291</v>
      </c>
      <c r="HA9" s="159" t="s">
        <v>292</v>
      </c>
      <c r="HB9" s="159" t="s">
        <v>293</v>
      </c>
      <c r="HC9" s="159" t="s">
        <v>294</v>
      </c>
      <c r="HD9" s="159" t="s">
        <v>295</v>
      </c>
      <c r="HE9" s="159" t="s">
        <v>296</v>
      </c>
      <c r="HF9" s="159" t="s">
        <v>297</v>
      </c>
      <c r="HG9" s="159" t="s">
        <v>298</v>
      </c>
      <c r="HH9" s="159" t="s">
        <v>299</v>
      </c>
      <c r="HI9" s="159" t="s">
        <v>300</v>
      </c>
      <c r="HJ9" s="159" t="s">
        <v>301</v>
      </c>
      <c r="HK9" s="159" t="s">
        <v>302</v>
      </c>
      <c r="HL9" s="159" t="s">
        <v>303</v>
      </c>
      <c r="HM9" s="159" t="s">
        <v>304</v>
      </c>
      <c r="HN9" s="159" t="s">
        <v>305</v>
      </c>
      <c r="HO9" s="159" t="s">
        <v>306</v>
      </c>
      <c r="HP9" s="159" t="s">
        <v>307</v>
      </c>
      <c r="HQ9" s="159" t="s">
        <v>284</v>
      </c>
      <c r="HR9" s="159" t="s">
        <v>285</v>
      </c>
      <c r="HS9" s="159" t="s">
        <v>286</v>
      </c>
      <c r="HT9" s="159" t="s">
        <v>287</v>
      </c>
      <c r="HU9" s="159" t="s">
        <v>288</v>
      </c>
      <c r="HV9" s="159" t="s">
        <v>289</v>
      </c>
      <c r="HW9" s="159" t="s">
        <v>290</v>
      </c>
      <c r="HX9" s="159" t="s">
        <v>291</v>
      </c>
      <c r="HY9" s="159" t="s">
        <v>292</v>
      </c>
      <c r="HZ9" s="159" t="s">
        <v>293</v>
      </c>
      <c r="IA9" s="159" t="s">
        <v>294</v>
      </c>
      <c r="IB9" s="159" t="s">
        <v>295</v>
      </c>
      <c r="IC9" s="159" t="s">
        <v>296</v>
      </c>
      <c r="ID9" s="159" t="s">
        <v>297</v>
      </c>
      <c r="IE9" s="159" t="s">
        <v>298</v>
      </c>
      <c r="IF9" s="159" t="s">
        <v>299</v>
      </c>
      <c r="IG9" s="159" t="s">
        <v>300</v>
      </c>
      <c r="IH9" s="159" t="s">
        <v>301</v>
      </c>
      <c r="II9" s="159" t="s">
        <v>302</v>
      </c>
      <c r="IJ9" s="159" t="s">
        <v>303</v>
      </c>
      <c r="IK9" s="159" t="s">
        <v>304</v>
      </c>
      <c r="IL9" s="159" t="s">
        <v>305</v>
      </c>
      <c r="IM9" s="159" t="s">
        <v>306</v>
      </c>
      <c r="IN9" s="159" t="s">
        <v>307</v>
      </c>
      <c r="IO9" s="159" t="s">
        <v>284</v>
      </c>
      <c r="IP9" s="159" t="s">
        <v>285</v>
      </c>
      <c r="IQ9" s="159" t="s">
        <v>286</v>
      </c>
      <c r="IR9" s="159" t="s">
        <v>287</v>
      </c>
      <c r="IS9" s="159" t="s">
        <v>288</v>
      </c>
      <c r="IT9" s="159" t="s">
        <v>289</v>
      </c>
      <c r="IU9" s="159" t="s">
        <v>290</v>
      </c>
      <c r="IV9" s="159" t="s">
        <v>291</v>
      </c>
      <c r="IW9" s="159" t="s">
        <v>292</v>
      </c>
      <c r="IX9" s="159" t="s">
        <v>293</v>
      </c>
      <c r="IY9" s="159" t="s">
        <v>294</v>
      </c>
      <c r="IZ9" s="159" t="s">
        <v>295</v>
      </c>
      <c r="JA9" s="159" t="s">
        <v>296</v>
      </c>
      <c r="JB9" s="159" t="s">
        <v>297</v>
      </c>
      <c r="JC9" s="159" t="s">
        <v>298</v>
      </c>
      <c r="JD9" s="159" t="s">
        <v>299</v>
      </c>
      <c r="JE9" s="159" t="s">
        <v>300</v>
      </c>
      <c r="JF9" s="159" t="s">
        <v>301</v>
      </c>
      <c r="JG9" s="159" t="s">
        <v>302</v>
      </c>
      <c r="JH9" s="159" t="s">
        <v>303</v>
      </c>
      <c r="JI9" s="159" t="s">
        <v>304</v>
      </c>
      <c r="JJ9" s="159" t="s">
        <v>305</v>
      </c>
      <c r="JK9" s="159" t="s">
        <v>306</v>
      </c>
      <c r="JL9" s="159" t="s">
        <v>307</v>
      </c>
      <c r="JM9" s="159" t="s">
        <v>284</v>
      </c>
      <c r="JN9" s="159" t="s">
        <v>285</v>
      </c>
      <c r="JO9" s="159" t="s">
        <v>286</v>
      </c>
      <c r="JP9" s="159" t="s">
        <v>287</v>
      </c>
      <c r="JQ9" s="159" t="s">
        <v>288</v>
      </c>
      <c r="JR9" s="159" t="s">
        <v>289</v>
      </c>
      <c r="JS9" s="159" t="s">
        <v>290</v>
      </c>
      <c r="JT9" s="159" t="s">
        <v>291</v>
      </c>
      <c r="JU9" s="159" t="s">
        <v>292</v>
      </c>
      <c r="JV9" s="159" t="s">
        <v>293</v>
      </c>
      <c r="JW9" s="159" t="s">
        <v>294</v>
      </c>
      <c r="JX9" s="159" t="s">
        <v>295</v>
      </c>
      <c r="JY9" s="159" t="s">
        <v>296</v>
      </c>
      <c r="JZ9" s="159" t="s">
        <v>297</v>
      </c>
      <c r="KA9" s="159" t="s">
        <v>298</v>
      </c>
      <c r="KB9" s="159" t="s">
        <v>299</v>
      </c>
      <c r="KC9" s="159" t="s">
        <v>300</v>
      </c>
      <c r="KD9" s="159" t="s">
        <v>301</v>
      </c>
      <c r="KE9" s="159" t="s">
        <v>302</v>
      </c>
      <c r="KF9" s="159" t="s">
        <v>303</v>
      </c>
      <c r="KG9" s="159" t="s">
        <v>304</v>
      </c>
      <c r="KH9" s="159" t="s">
        <v>305</v>
      </c>
      <c r="KI9" s="159" t="s">
        <v>306</v>
      </c>
      <c r="KJ9" s="159" t="s">
        <v>307</v>
      </c>
      <c r="KK9" s="154"/>
    </row>
    <row r="10" spans="1:306" s="161" customFormat="1" ht="18" customHeight="1" x14ac:dyDescent="0.25">
      <c r="A10" s="134" t="s">
        <v>167</v>
      </c>
      <c r="B10" s="134">
        <v>1</v>
      </c>
      <c r="C10" s="134"/>
      <c r="D10" s="134"/>
      <c r="E10" s="134"/>
      <c r="F10" s="134"/>
      <c r="G10" s="134">
        <v>0</v>
      </c>
      <c r="H10" s="183"/>
      <c r="I10" s="184" t="s">
        <v>169</v>
      </c>
      <c r="J10" s="185">
        <v>1</v>
      </c>
      <c r="K10" s="185" t="s">
        <v>243</v>
      </c>
      <c r="L10" s="186" t="s">
        <v>168</v>
      </c>
      <c r="M10" s="187" t="s">
        <v>58</v>
      </c>
      <c r="N10" s="185"/>
      <c r="O10" s="188"/>
      <c r="P10" s="189"/>
      <c r="Q10" s="189"/>
      <c r="R10" s="190"/>
      <c r="S10" s="189">
        <v>44669.375</v>
      </c>
      <c r="T10" s="189">
        <v>44669.625</v>
      </c>
      <c r="U10" s="190">
        <v>6</v>
      </c>
      <c r="V10" s="185"/>
      <c r="W10" s="191">
        <v>0</v>
      </c>
      <c r="X10" s="192">
        <v>0</v>
      </c>
      <c r="Y10" s="189"/>
      <c r="Z10" s="189"/>
      <c r="AA10" s="190"/>
      <c r="AB10" s="188"/>
      <c r="AC10" s="188"/>
      <c r="AD10" s="188"/>
      <c r="AE10" s="193"/>
      <c r="AF10" s="185"/>
      <c r="AG10" s="185"/>
      <c r="AH10" s="185"/>
      <c r="AI10" s="185"/>
      <c r="AJ10" s="185"/>
      <c r="AK10" s="185"/>
      <c r="AL10" s="185"/>
      <c r="AM10" s="185"/>
      <c r="AN10" s="185"/>
      <c r="AO10" s="185"/>
      <c r="AP10" s="185"/>
      <c r="AQ10" s="185"/>
      <c r="AR10" s="185"/>
      <c r="AS10" s="185"/>
      <c r="AT10" s="185"/>
      <c r="AU10" s="185"/>
      <c r="AV10" s="185"/>
      <c r="AW10" s="185"/>
      <c r="AX10" s="185"/>
      <c r="AY10" s="185"/>
      <c r="AZ10" s="185"/>
      <c r="BA10" s="185"/>
      <c r="BB10" s="185"/>
      <c r="BC10" s="185"/>
      <c r="BD10" s="194"/>
      <c r="BE10" s="195"/>
      <c r="BF10" s="195"/>
      <c r="BG10" s="195"/>
      <c r="BH10" s="195"/>
      <c r="BI10" s="195"/>
      <c r="BJ10" s="195"/>
      <c r="BK10" s="195"/>
      <c r="BL10" s="195"/>
      <c r="BM10" s="195"/>
      <c r="BN10" s="195"/>
      <c r="BO10" s="195"/>
      <c r="BP10" s="195"/>
      <c r="BQ10" s="195"/>
      <c r="BR10" s="195"/>
      <c r="BS10" s="195"/>
      <c r="BT10" s="195"/>
      <c r="BU10" s="195"/>
      <c r="BV10" s="195"/>
      <c r="BW10" s="195"/>
      <c r="BX10" s="195"/>
      <c r="BY10" s="195"/>
      <c r="BZ10" s="195"/>
      <c r="CA10" s="195"/>
      <c r="CB10" s="195"/>
      <c r="CC10" s="195"/>
      <c r="CD10" s="195"/>
      <c r="CE10" s="195"/>
      <c r="CF10" s="195"/>
      <c r="CG10" s="195"/>
      <c r="CH10" s="195"/>
      <c r="CI10" s="195"/>
      <c r="CJ10" s="195"/>
      <c r="CK10" s="195"/>
      <c r="CL10" s="195"/>
      <c r="CM10" s="195"/>
      <c r="CN10" s="195"/>
      <c r="CO10" s="195"/>
      <c r="CP10" s="195"/>
      <c r="CQ10" s="195"/>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54"/>
      <c r="KL10"/>
      <c r="KM10"/>
      <c r="KN10"/>
      <c r="KO10"/>
      <c r="KP10"/>
      <c r="KQ10"/>
      <c r="KR10"/>
      <c r="KS10"/>
      <c r="KT10"/>
    </row>
    <row r="11" spans="1:306" x14ac:dyDescent="0.25">
      <c r="H11" s="196"/>
      <c r="I11" s="196"/>
      <c r="J11" s="197"/>
      <c r="K11" s="198" t="s">
        <v>308</v>
      </c>
      <c r="L11" s="199"/>
      <c r="M11" s="196"/>
      <c r="N11" s="197"/>
      <c r="O11" s="200"/>
      <c r="P11" s="201"/>
      <c r="Q11" s="201"/>
      <c r="R11" s="200"/>
      <c r="S11" s="201"/>
      <c r="T11" s="201"/>
      <c r="U11" s="200"/>
      <c r="V11" s="196"/>
      <c r="W11" s="196"/>
      <c r="X11" s="202"/>
      <c r="Y11" s="201"/>
      <c r="Z11" s="201"/>
      <c r="AA11" s="200"/>
      <c r="AB11" s="200"/>
      <c r="AC11" s="200"/>
      <c r="AD11" s="200"/>
      <c r="AE11" s="203"/>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204"/>
      <c r="BF11" s="204"/>
      <c r="BG11" s="204"/>
      <c r="BH11" s="204"/>
      <c r="BI11" s="204"/>
      <c r="BJ11" s="204"/>
      <c r="BK11" s="204"/>
      <c r="BL11" s="204"/>
      <c r="BM11" s="204"/>
      <c r="BN11" s="204"/>
      <c r="BO11" s="204"/>
      <c r="BP11" s="204"/>
      <c r="BQ11" s="204"/>
      <c r="BR11" s="204"/>
      <c r="BS11" s="204"/>
      <c r="BT11" s="204"/>
      <c r="BU11" s="204"/>
      <c r="BV11" s="204"/>
      <c r="BW11" s="204"/>
      <c r="BX11" s="204"/>
      <c r="BY11" s="204"/>
      <c r="BZ11" s="204"/>
      <c r="CA11" s="204"/>
      <c r="CB11" s="204"/>
      <c r="CC11" s="204"/>
      <c r="CD11" s="204"/>
      <c r="CE11" s="204"/>
      <c r="CF11" s="204"/>
      <c r="CG11" s="204"/>
      <c r="CH11" s="204"/>
      <c r="CI11" s="204"/>
      <c r="CJ11" s="204"/>
      <c r="CK11" s="204"/>
      <c r="CL11" s="204"/>
      <c r="CM11" s="204"/>
      <c r="CN11" s="204"/>
      <c r="CO11" s="204"/>
      <c r="CP11" s="204"/>
      <c r="CQ11" s="204"/>
      <c r="CR11" s="204"/>
      <c r="CS11" s="204"/>
      <c r="CT11" s="204"/>
      <c r="CU11" s="204"/>
      <c r="CV11" s="204"/>
      <c r="CW11" s="204"/>
      <c r="CX11" s="204"/>
      <c r="CY11" s="204"/>
      <c r="CZ11" s="204"/>
      <c r="DA11" s="204"/>
      <c r="DB11" s="204"/>
      <c r="DC11" s="204"/>
      <c r="DD11" s="204"/>
      <c r="DE11" s="204"/>
      <c r="DF11" s="204"/>
      <c r="DG11" s="204"/>
      <c r="DH11" s="204"/>
      <c r="DI11" s="204"/>
      <c r="DJ11" s="204"/>
      <c r="DK11" s="204"/>
      <c r="DL11" s="204"/>
      <c r="DM11" s="204"/>
      <c r="DN11" s="204"/>
      <c r="DO11" s="204"/>
      <c r="DP11" s="204"/>
      <c r="DQ11" s="204"/>
      <c r="DR11" s="204"/>
      <c r="DS11" s="204"/>
      <c r="DT11" s="204"/>
      <c r="DU11" s="204"/>
      <c r="DV11" s="204"/>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row>
    <row r="12" spans="1:306" x14ac:dyDescent="0.25">
      <c r="P12" s="160"/>
      <c r="Q12" s="160"/>
      <c r="S12" s="160"/>
      <c r="T12" s="160"/>
      <c r="Y12" s="160"/>
      <c r="Z12" s="160"/>
    </row>
  </sheetData>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451F4375-29F5-42E0-BBE5-75CBBC822064}">
            <x14:iconSet iconSet="3Symbols2" showValue="0" custom="1">
              <x14:cfvo type="percent">
                <xm:f>0</xm:f>
              </x14:cfvo>
              <x14:cfvo type="num">
                <xm:f>0</xm:f>
              </x14:cfvo>
              <x14:cfvo type="num">
                <xm:f>99</xm:f>
              </x14:cfvo>
              <x14:cfIcon iconSet="3Symbols2" iconId="0"/>
              <x14:cfIcon iconSet="NoIcons" iconId="0"/>
              <x14:cfIcon iconSet="3Symbols2" iconId="2"/>
            </x14:iconSet>
          </x14:cfRule>
          <xm:sqref>W10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
  <dimension ref="B2:VGB31"/>
  <sheetViews>
    <sheetView showGridLines="0" showRowColHeaders="0" zoomScaleNormal="100" workbookViewId="0">
      <selection activeCell="F4" sqref="F4"/>
    </sheetView>
  </sheetViews>
  <sheetFormatPr defaultColWidth="9.140625" defaultRowHeight="15" x14ac:dyDescent="0.25"/>
  <cols>
    <col min="1" max="1" width="9.140625" style="76"/>
    <col min="2" max="2" width="1" style="76" customWidth="1"/>
    <col min="3" max="3" width="6.28515625" style="76" customWidth="1"/>
    <col min="4" max="4" width="1.28515625" style="76" customWidth="1"/>
    <col min="5" max="15" width="9.140625" style="76" customWidth="1"/>
    <col min="16" max="16" width="9.28515625" style="76" customWidth="1"/>
    <col min="17" max="18" width="9.140625" style="76" customWidth="1"/>
    <col min="19" max="19" width="8.28515625" style="76" customWidth="1"/>
    <col min="20" max="20" width="9.140625" style="76" customWidth="1"/>
    <col min="21" max="21" width="9.28515625" style="76" customWidth="1"/>
    <col min="22" max="22" width="2" style="76" customWidth="1"/>
    <col min="23" max="23" width="0.85546875" style="76" customWidth="1"/>
    <col min="24" max="16384" width="9.140625" style="76"/>
  </cols>
  <sheetData>
    <row r="2" spans="2:23 15055:15056" ht="5.25" customHeight="1" x14ac:dyDescent="0.25">
      <c r="B2" s="19"/>
      <c r="C2" s="19" t="s">
        <v>2</v>
      </c>
      <c r="D2" s="19"/>
      <c r="E2" s="19"/>
      <c r="F2" s="19"/>
      <c r="G2" s="19"/>
      <c r="H2" s="19"/>
      <c r="I2" s="19"/>
      <c r="J2" s="19"/>
      <c r="K2" s="19"/>
      <c r="L2" s="19"/>
      <c r="M2" s="19"/>
      <c r="N2" s="19"/>
      <c r="O2" s="19"/>
      <c r="P2" s="19"/>
      <c r="Q2" s="19"/>
      <c r="R2" s="19"/>
      <c r="S2" s="19"/>
      <c r="T2" s="19"/>
      <c r="U2" s="19"/>
      <c r="V2" s="19"/>
      <c r="W2" s="19"/>
    </row>
    <row r="3" spans="2:23 15055:15056" ht="15" customHeight="1" x14ac:dyDescent="0.25">
      <c r="B3" s="19"/>
      <c r="C3" s="33"/>
      <c r="D3" s="33"/>
      <c r="E3" s="33"/>
      <c r="F3" s="33"/>
      <c r="G3" s="33"/>
      <c r="H3" s="33"/>
      <c r="I3" s="33"/>
      <c r="J3" s="33"/>
      <c r="K3" s="33"/>
      <c r="L3" s="33"/>
      <c r="M3" s="33"/>
      <c r="N3" s="33"/>
      <c r="O3" s="33"/>
      <c r="P3" s="33"/>
      <c r="Q3" s="33"/>
      <c r="R3" s="33"/>
      <c r="S3" s="33"/>
      <c r="T3" s="33"/>
      <c r="U3" s="64"/>
      <c r="V3" s="65"/>
      <c r="W3" s="19"/>
      <c r="VGA3" s="66" t="s">
        <v>73</v>
      </c>
      <c r="VGB3" s="66" t="s">
        <v>74</v>
      </c>
    </row>
    <row r="4" spans="2:23 15055:15056" ht="15" customHeight="1" x14ac:dyDescent="0.25">
      <c r="B4" s="19"/>
      <c r="C4" s="33"/>
      <c r="D4" s="33"/>
      <c r="H4" s="172" t="s">
        <v>157</v>
      </c>
      <c r="I4" s="172"/>
      <c r="J4" s="172"/>
      <c r="K4" s="172"/>
      <c r="L4" s="172"/>
      <c r="M4" s="172"/>
      <c r="N4" s="172"/>
      <c r="O4" s="172"/>
      <c r="P4" s="172"/>
      <c r="Q4" s="172"/>
      <c r="R4" s="172"/>
      <c r="S4" s="172"/>
      <c r="T4" s="33"/>
      <c r="U4" s="33"/>
      <c r="V4" s="33"/>
      <c r="W4" s="19"/>
    </row>
    <row r="5" spans="2:23 15055:15056" ht="15" customHeight="1" x14ac:dyDescent="0.55000000000000004">
      <c r="B5" s="19"/>
      <c r="C5" s="33"/>
      <c r="D5" s="33"/>
      <c r="G5" s="90"/>
      <c r="H5" s="172"/>
      <c r="I5" s="172"/>
      <c r="J5" s="172"/>
      <c r="K5" s="172"/>
      <c r="L5" s="172"/>
      <c r="M5" s="172"/>
      <c r="N5" s="172"/>
      <c r="O5" s="172"/>
      <c r="P5" s="172"/>
      <c r="Q5" s="172"/>
      <c r="R5" s="172"/>
      <c r="S5" s="172"/>
      <c r="W5" s="19"/>
    </row>
    <row r="6" spans="2:23 15055:15056" ht="35.450000000000003" customHeight="1" x14ac:dyDescent="0.25">
      <c r="B6" s="19"/>
      <c r="C6" s="33"/>
      <c r="D6" s="33"/>
      <c r="K6" s="67"/>
      <c r="L6" s="67"/>
      <c r="M6" s="67"/>
      <c r="N6" s="67"/>
      <c r="O6" s="67"/>
      <c r="P6" s="67"/>
      <c r="Q6" s="33"/>
      <c r="R6" s="33"/>
      <c r="S6" s="68"/>
      <c r="T6" s="33"/>
      <c r="U6" s="33"/>
      <c r="V6" s="33"/>
      <c r="W6" s="19"/>
    </row>
    <row r="7" spans="2:23 15055:15056" ht="15" customHeight="1" x14ac:dyDescent="0.25">
      <c r="B7" s="19"/>
      <c r="C7" s="69" t="s">
        <v>156</v>
      </c>
      <c r="D7" s="33"/>
      <c r="K7" s="67"/>
      <c r="L7" s="67"/>
      <c r="M7" s="67"/>
      <c r="N7" s="67"/>
      <c r="O7" s="67"/>
      <c r="P7" s="67"/>
      <c r="Q7" s="33"/>
      <c r="R7" s="33"/>
      <c r="S7" s="68"/>
      <c r="T7" s="33"/>
      <c r="U7" s="33"/>
      <c r="V7" s="33"/>
      <c r="W7" s="19"/>
    </row>
    <row r="8" spans="2:23 15055:15056" ht="3.95" customHeight="1" x14ac:dyDescent="0.25">
      <c r="B8" s="19"/>
      <c r="C8" s="19"/>
      <c r="D8" s="19"/>
      <c r="E8" s="19"/>
      <c r="F8" s="19"/>
      <c r="G8" s="19"/>
      <c r="H8" s="19"/>
      <c r="I8" s="19"/>
      <c r="J8" s="19"/>
      <c r="K8" s="70"/>
      <c r="L8" s="70"/>
      <c r="M8" s="70"/>
      <c r="N8" s="70"/>
      <c r="O8" s="70"/>
      <c r="P8" s="70"/>
      <c r="Q8" s="19"/>
      <c r="R8" s="19"/>
      <c r="S8" s="71"/>
      <c r="T8" s="19"/>
      <c r="U8" s="19"/>
      <c r="V8" s="19"/>
      <c r="W8" s="19"/>
    </row>
    <row r="9" spans="2:23 15055:15056" ht="45.75" customHeight="1" x14ac:dyDescent="0.25">
      <c r="B9" s="19"/>
      <c r="G9" s="171" t="s">
        <v>1</v>
      </c>
      <c r="H9" s="171"/>
      <c r="I9" s="171"/>
      <c r="J9" s="171"/>
      <c r="K9" s="171"/>
      <c r="L9" s="171"/>
      <c r="M9" s="171"/>
      <c r="N9" s="171"/>
      <c r="O9" s="171"/>
      <c r="P9" s="171"/>
      <c r="Q9" s="171"/>
      <c r="R9" s="171"/>
      <c r="S9" s="171"/>
      <c r="W9" s="19"/>
    </row>
    <row r="10" spans="2:23 15055:15056" ht="15" customHeight="1" x14ac:dyDescent="0.3">
      <c r="B10" s="19"/>
      <c r="C10" s="76">
        <v>1</v>
      </c>
      <c r="D10" s="72">
        <v>1</v>
      </c>
      <c r="E10" s="73" t="s">
        <v>80</v>
      </c>
      <c r="F10" s="33"/>
      <c r="G10" s="171"/>
      <c r="H10" s="171"/>
      <c r="I10" s="171"/>
      <c r="J10" s="171"/>
      <c r="K10" s="171"/>
      <c r="L10" s="171"/>
      <c r="M10" s="171"/>
      <c r="N10" s="171"/>
      <c r="O10" s="171"/>
      <c r="P10" s="171"/>
      <c r="Q10" s="171"/>
      <c r="R10" s="171"/>
      <c r="S10" s="171"/>
      <c r="T10" s="74"/>
      <c r="U10" s="74"/>
      <c r="V10" s="74"/>
      <c r="W10" s="19"/>
    </row>
    <row r="11" spans="2:23 15055:15056" ht="15" customHeight="1" x14ac:dyDescent="0.25">
      <c r="B11" s="19"/>
      <c r="E11" s="173" t="s">
        <v>70</v>
      </c>
      <c r="F11" s="170"/>
      <c r="G11" s="170"/>
      <c r="H11" s="170"/>
      <c r="I11" s="170"/>
      <c r="W11" s="19"/>
    </row>
    <row r="12" spans="2:23 15055:15056" ht="15" customHeight="1" x14ac:dyDescent="0.25">
      <c r="B12" s="19"/>
      <c r="W12" s="19"/>
    </row>
    <row r="13" spans="2:23 15055:15056" ht="15" customHeight="1" x14ac:dyDescent="0.3">
      <c r="B13" s="19"/>
      <c r="C13" s="76">
        <v>2</v>
      </c>
      <c r="E13" s="73" t="s">
        <v>158</v>
      </c>
      <c r="W13" s="19"/>
    </row>
    <row r="14" spans="2:23 15055:15056" ht="15" customHeight="1" x14ac:dyDescent="0.25">
      <c r="B14" s="19"/>
      <c r="W14" s="19"/>
    </row>
    <row r="15" spans="2:23 15055:15056" ht="15" customHeight="1" x14ac:dyDescent="0.25">
      <c r="B15" s="19"/>
      <c r="W15" s="19"/>
    </row>
    <row r="16" spans="2:23 15055:15056" ht="15" customHeight="1" x14ac:dyDescent="0.25">
      <c r="B16" s="19"/>
      <c r="W16" s="19"/>
    </row>
    <row r="17" spans="2:23" ht="15" customHeight="1" x14ac:dyDescent="0.25">
      <c r="B17" s="19"/>
      <c r="W17" s="19"/>
    </row>
    <row r="18" spans="2:23" ht="15" customHeight="1" x14ac:dyDescent="0.25">
      <c r="B18" s="19"/>
      <c r="W18" s="19"/>
    </row>
    <row r="19" spans="2:23" ht="15" customHeight="1" x14ac:dyDescent="0.25">
      <c r="B19" s="19"/>
      <c r="W19" s="19"/>
    </row>
    <row r="20" spans="2:23" ht="15" customHeight="1" x14ac:dyDescent="0.25">
      <c r="B20" s="19"/>
      <c r="W20" s="19"/>
    </row>
    <row r="21" spans="2:23" ht="15" customHeight="1" x14ac:dyDescent="0.25">
      <c r="B21" s="19"/>
      <c r="W21" s="19"/>
    </row>
    <row r="22" spans="2:23" ht="15" customHeight="1" x14ac:dyDescent="0.25">
      <c r="B22" s="19"/>
      <c r="E22" s="173" t="s">
        <v>313</v>
      </c>
      <c r="F22" s="170"/>
      <c r="G22" s="170"/>
      <c r="H22" s="170"/>
      <c r="W22" s="19"/>
    </row>
    <row r="23" spans="2:23" ht="15" customHeight="1" x14ac:dyDescent="0.25">
      <c r="B23" s="19"/>
      <c r="E23" s="173" t="s">
        <v>0</v>
      </c>
      <c r="F23" s="170"/>
      <c r="G23" s="170"/>
      <c r="H23" s="170"/>
      <c r="W23" s="19"/>
    </row>
    <row r="24" spans="2:23" ht="15" customHeight="1" x14ac:dyDescent="0.25">
      <c r="B24" s="19"/>
      <c r="W24" s="19"/>
    </row>
    <row r="25" spans="2:23" ht="3.75" customHeight="1" x14ac:dyDescent="0.25">
      <c r="B25" s="19"/>
      <c r="C25" s="19"/>
      <c r="D25" s="19"/>
      <c r="E25" s="19"/>
      <c r="F25" s="19"/>
      <c r="G25" s="19"/>
      <c r="H25" s="19"/>
      <c r="I25" s="19"/>
      <c r="J25" s="19"/>
      <c r="K25" s="19"/>
      <c r="L25" s="19"/>
      <c r="M25" s="19"/>
      <c r="N25" s="19"/>
      <c r="O25" s="19"/>
      <c r="P25" s="19"/>
      <c r="Q25" s="19"/>
      <c r="R25" s="19"/>
      <c r="S25" s="19"/>
      <c r="T25" s="19"/>
      <c r="U25" s="19"/>
      <c r="V25" s="19"/>
      <c r="W25" s="19"/>
    </row>
    <row r="26" spans="2:23" ht="15" customHeight="1" x14ac:dyDescent="0.25"/>
    <row r="31" spans="2:23" x14ac:dyDescent="0.25">
      <c r="H31" s="75"/>
    </row>
  </sheetData>
  <sheetProtection formatCells="0" formatColumns="0" formatRows="0" insertHyperlinks="0" selectLockedCells="1" autoFilter="0" selectUnlockedCells="1"/>
  <mergeCells count="5">
    <mergeCell ref="E11:I11"/>
    <mergeCell ref="E23:H23"/>
    <mergeCell ref="G9:S10"/>
    <mergeCell ref="H4:S5"/>
    <mergeCell ref="E22:H22"/>
  </mergeCells>
  <hyperlinks>
    <hyperlink ref="E11" r:id="rId1" tooltip="Enable Macros"/>
    <hyperlink ref="E22" r:id="rId2" tooltip="Quick Start Guide"/>
    <hyperlink ref="E23" r:id="rId3" tooltip="Click Here For Documentation"/>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ST1"/>
  <dimension ref="A1:LZ7"/>
  <sheetViews>
    <sheetView workbookViewId="0">
      <selection activeCell="G26" sqref="G26"/>
    </sheetView>
  </sheetViews>
  <sheetFormatPr defaultColWidth="9.140625" defaultRowHeight="15" x14ac:dyDescent="0.25"/>
  <cols>
    <col min="1" max="11" width="9.140625" style="131"/>
    <col min="12" max="13" width="14.85546875" style="131" customWidth="1"/>
    <col min="14" max="14" width="12.85546875" style="131" customWidth="1"/>
    <col min="15" max="19" width="9.140625" style="131"/>
    <col min="20" max="20" width="12.7109375" style="131" customWidth="1"/>
    <col min="21" max="27" width="9.140625" style="131"/>
    <col min="28" max="28" width="19.7109375" style="131" customWidth="1"/>
    <col min="29" max="16384" width="9.140625" style="131"/>
  </cols>
  <sheetData>
    <row r="1" spans="1:338" x14ac:dyDescent="0.25">
      <c r="A1" s="11" t="s">
        <v>132</v>
      </c>
      <c r="B1" s="11" t="s">
        <v>146</v>
      </c>
      <c r="C1" s="76" t="s">
        <v>42</v>
      </c>
      <c r="D1" s="76" t="s">
        <v>62</v>
      </c>
      <c r="E1" s="76" t="s">
        <v>45</v>
      </c>
      <c r="F1" s="76" t="s">
        <v>53</v>
      </c>
      <c r="G1" s="76" t="s">
        <v>4</v>
      </c>
      <c r="H1" s="76" t="s">
        <v>6</v>
      </c>
      <c r="I1" s="76" t="s">
        <v>55</v>
      </c>
      <c r="J1" s="76" t="s">
        <v>54</v>
      </c>
      <c r="K1" s="76" t="s">
        <v>71</v>
      </c>
      <c r="L1" s="76" t="s">
        <v>148</v>
      </c>
      <c r="M1" s="76" t="s">
        <v>149</v>
      </c>
      <c r="N1" s="76" t="s">
        <v>64</v>
      </c>
      <c r="O1" s="76" t="s">
        <v>65</v>
      </c>
      <c r="P1" s="76" t="s">
        <v>51</v>
      </c>
      <c r="Q1" s="76" t="s">
        <v>50</v>
      </c>
      <c r="R1" s="76" t="s">
        <v>49</v>
      </c>
      <c r="S1" s="76" t="s">
        <v>48</v>
      </c>
      <c r="T1" s="76" t="s">
        <v>120</v>
      </c>
      <c r="U1" s="76" t="s">
        <v>121</v>
      </c>
      <c r="V1" s="76" t="s">
        <v>122</v>
      </c>
      <c r="W1" s="76" t="s">
        <v>123</v>
      </c>
      <c r="X1" s="76" t="s">
        <v>124</v>
      </c>
      <c r="Y1" s="76" t="s">
        <v>41</v>
      </c>
      <c r="Z1" s="76" t="s">
        <v>40</v>
      </c>
      <c r="AA1" s="76" t="s">
        <v>43</v>
      </c>
      <c r="AB1" s="76" t="s">
        <v>135</v>
      </c>
      <c r="AC1" s="76" t="s">
        <v>52</v>
      </c>
      <c r="AD1" s="76" t="s">
        <v>47</v>
      </c>
      <c r="AE1" s="76" t="s">
        <v>36</v>
      </c>
      <c r="AF1" s="76" t="s">
        <v>35</v>
      </c>
      <c r="AG1" s="76" t="s">
        <v>34</v>
      </c>
      <c r="AH1" s="76" t="s">
        <v>33</v>
      </c>
      <c r="AI1" s="76" t="s">
        <v>32</v>
      </c>
      <c r="AJ1" s="76" t="s">
        <v>31</v>
      </c>
      <c r="AK1" s="76" t="s">
        <v>30</v>
      </c>
      <c r="AL1" s="76" t="s">
        <v>66</v>
      </c>
      <c r="AM1" s="76" t="s">
        <v>67</v>
      </c>
      <c r="AN1" s="76" t="s">
        <v>145</v>
      </c>
      <c r="AO1" s="11" t="s">
        <v>81</v>
      </c>
      <c r="AP1" s="11" t="s">
        <v>82</v>
      </c>
      <c r="AQ1" s="11" t="s">
        <v>83</v>
      </c>
      <c r="AR1" s="11" t="s">
        <v>84</v>
      </c>
      <c r="AS1" s="11" t="s">
        <v>90</v>
      </c>
      <c r="AT1" s="11" t="s">
        <v>150</v>
      </c>
      <c r="AU1" s="11" t="s">
        <v>85</v>
      </c>
      <c r="AV1" s="11" t="s">
        <v>86</v>
      </c>
      <c r="AW1" s="11" t="s">
        <v>87</v>
      </c>
      <c r="AX1" s="11" t="s">
        <v>98</v>
      </c>
      <c r="AY1" s="11" t="s">
        <v>88</v>
      </c>
      <c r="AZ1" s="11" t="s">
        <v>89</v>
      </c>
      <c r="BA1" s="11" t="s">
        <v>116</v>
      </c>
      <c r="BB1" s="11" t="s">
        <v>151</v>
      </c>
      <c r="BC1" s="11" t="s">
        <v>91</v>
      </c>
      <c r="BD1" s="11" t="s">
        <v>92</v>
      </c>
      <c r="BE1" s="11" t="s">
        <v>93</v>
      </c>
      <c r="BF1" s="11" t="s">
        <v>125</v>
      </c>
      <c r="BG1" s="11" t="s">
        <v>126</v>
      </c>
      <c r="BH1" s="11" t="s">
        <v>94</v>
      </c>
      <c r="BI1" s="11" t="s">
        <v>114</v>
      </c>
      <c r="BJ1" s="11" t="s">
        <v>95</v>
      </c>
      <c r="BK1" s="11" t="s">
        <v>96</v>
      </c>
      <c r="BL1" s="11" t="s">
        <v>97</v>
      </c>
      <c r="BM1" s="11" t="s">
        <v>136</v>
      </c>
      <c r="BN1" s="11" t="s">
        <v>139</v>
      </c>
      <c r="BO1" s="11" t="s">
        <v>140</v>
      </c>
      <c r="BP1" s="11" t="s">
        <v>141</v>
      </c>
      <c r="BQ1" s="11" t="s">
        <v>142</v>
      </c>
      <c r="BR1" s="11" t="s">
        <v>143</v>
      </c>
      <c r="BS1" s="11" t="s">
        <v>144</v>
      </c>
      <c r="BT1" s="11" t="s">
        <v>99</v>
      </c>
      <c r="BU1" s="76" t="s">
        <v>100</v>
      </c>
      <c r="BV1" s="76" t="s">
        <v>101</v>
      </c>
      <c r="BW1" s="76" t="s">
        <v>102</v>
      </c>
      <c r="BX1" s="76" t="s">
        <v>103</v>
      </c>
      <c r="BY1" s="76" t="s">
        <v>104</v>
      </c>
      <c r="BZ1" s="76" t="s">
        <v>105</v>
      </c>
      <c r="CA1" s="76" t="s">
        <v>106</v>
      </c>
      <c r="CB1" s="76" t="s">
        <v>107</v>
      </c>
      <c r="CC1" s="76" t="s">
        <v>108</v>
      </c>
      <c r="CD1" s="76" t="s">
        <v>109</v>
      </c>
      <c r="CE1" s="76" t="s">
        <v>110</v>
      </c>
      <c r="CF1" s="76" t="s">
        <v>112</v>
      </c>
      <c r="CG1" s="76" t="s">
        <v>111</v>
      </c>
      <c r="CH1" s="76" t="s">
        <v>115</v>
      </c>
      <c r="CI1" s="76" t="s">
        <v>117</v>
      </c>
      <c r="CJ1" s="76" t="s">
        <v>118</v>
      </c>
      <c r="CK1" s="76" t="s">
        <v>119</v>
      </c>
      <c r="CL1" s="76" t="s">
        <v>109</v>
      </c>
      <c r="CM1" s="76" t="s">
        <v>110</v>
      </c>
      <c r="CN1" s="76" t="s">
        <v>112</v>
      </c>
      <c r="CO1" s="76" t="s">
        <v>111</v>
      </c>
      <c r="CP1" s="76" t="s">
        <v>115</v>
      </c>
      <c r="CQ1" s="76" t="s">
        <v>117</v>
      </c>
      <c r="CR1" s="76" t="s">
        <v>118</v>
      </c>
      <c r="CS1" s="76" t="s">
        <v>119</v>
      </c>
      <c r="CT1" s="12" t="s">
        <v>133</v>
      </c>
      <c r="CU1" s="12" t="s">
        <v>128</v>
      </c>
      <c r="CV1" s="12" t="s">
        <v>134</v>
      </c>
      <c r="CW1" s="12" t="s">
        <v>131</v>
      </c>
      <c r="CX1" s="12" t="s">
        <v>130</v>
      </c>
      <c r="CY1" s="12" t="s">
        <v>147</v>
      </c>
      <c r="CZ1" s="12" t="s">
        <v>155</v>
      </c>
      <c r="DA1" s="12" t="s">
        <v>154</v>
      </c>
      <c r="DB1" s="12" t="s">
        <v>153</v>
      </c>
      <c r="DC1" s="12" t="s">
        <v>152</v>
      </c>
      <c r="DD1" s="12" t="s">
        <v>159</v>
      </c>
      <c r="LL1"/>
      <c r="LM1"/>
      <c r="LN1"/>
      <c r="LO1"/>
      <c r="LP1"/>
      <c r="LQ1"/>
      <c r="LR1"/>
      <c r="LS1"/>
      <c r="LT1"/>
      <c r="LU1"/>
      <c r="LV1"/>
      <c r="LW1"/>
      <c r="LX1"/>
      <c r="LY1"/>
      <c r="LZ1"/>
    </row>
    <row r="2" spans="1:338" x14ac:dyDescent="0.25">
      <c r="A2" s="76" t="s">
        <v>282</v>
      </c>
      <c r="B2" s="76">
        <v>0</v>
      </c>
      <c r="C2" s="76" t="s">
        <v>28</v>
      </c>
      <c r="D2" s="76" t="s">
        <v>63</v>
      </c>
      <c r="E2" s="76" t="b">
        <v>1</v>
      </c>
      <c r="F2" s="13" t="s">
        <v>8</v>
      </c>
      <c r="G2" s="14">
        <v>0</v>
      </c>
      <c r="H2" s="14">
        <v>0</v>
      </c>
      <c r="I2" s="13"/>
      <c r="J2" s="13">
        <v>0</v>
      </c>
      <c r="K2" s="13" t="b">
        <v>0</v>
      </c>
      <c r="L2" s="13" t="b">
        <v>1</v>
      </c>
      <c r="M2" s="13" t="b">
        <v>1</v>
      </c>
      <c r="N2" s="13" t="b">
        <v>1</v>
      </c>
      <c r="O2" s="13" t="b">
        <v>1</v>
      </c>
      <c r="P2" s="13">
        <v>1</v>
      </c>
      <c r="Q2" s="13">
        <v>1</v>
      </c>
      <c r="R2" s="13">
        <v>1</v>
      </c>
      <c r="S2" s="13">
        <v>1</v>
      </c>
      <c r="T2" s="13" t="b">
        <v>1</v>
      </c>
      <c r="U2" s="13" t="b">
        <v>1</v>
      </c>
      <c r="V2" s="13" t="b">
        <v>1</v>
      </c>
      <c r="W2" s="13" t="b">
        <v>1</v>
      </c>
      <c r="X2" s="13" t="b">
        <v>1</v>
      </c>
      <c r="Y2" s="76" t="b">
        <v>1</v>
      </c>
      <c r="Z2" s="76" t="b">
        <v>0</v>
      </c>
      <c r="AA2" s="76">
        <v>0</v>
      </c>
      <c r="AB2" s="13">
        <v>1</v>
      </c>
      <c r="AC2" s="13" t="s">
        <v>283</v>
      </c>
      <c r="AD2" s="13">
        <v>1</v>
      </c>
      <c r="AE2" s="76" t="b">
        <v>1</v>
      </c>
      <c r="AF2" s="76">
        <v>20</v>
      </c>
      <c r="AG2" s="51" t="s">
        <v>127</v>
      </c>
      <c r="AH2" s="76" t="s">
        <v>26</v>
      </c>
      <c r="AI2" s="76" t="b">
        <v>1</v>
      </c>
      <c r="AJ2" s="76" t="b">
        <v>0</v>
      </c>
      <c r="AK2" s="76" t="b">
        <v>0</v>
      </c>
      <c r="AL2" s="76" t="s">
        <v>68</v>
      </c>
      <c r="AM2" s="76" t="s">
        <v>69</v>
      </c>
      <c r="AN2" s="76"/>
      <c r="AO2" s="76" t="s">
        <v>77</v>
      </c>
      <c r="AP2" s="76" t="s">
        <v>76</v>
      </c>
      <c r="AQ2" s="16"/>
      <c r="AR2" s="78"/>
      <c r="AS2" s="17"/>
      <c r="AT2" s="17"/>
      <c r="AU2" s="18"/>
      <c r="AV2" s="19"/>
      <c r="AW2" s="20"/>
      <c r="AX2" s="21"/>
      <c r="AY2" s="77"/>
      <c r="AZ2" s="22"/>
      <c r="BA2" s="22"/>
      <c r="BB2" s="77"/>
      <c r="BC2" s="53"/>
      <c r="BD2" s="79"/>
      <c r="BE2" s="81"/>
      <c r="BF2" s="80"/>
      <c r="BG2" s="81"/>
      <c r="BH2" s="54"/>
      <c r="BI2" s="33"/>
      <c r="BJ2" s="25"/>
      <c r="BK2" s="53"/>
      <c r="BL2" s="26"/>
      <c r="BM2" s="58"/>
      <c r="BN2" s="20"/>
      <c r="BO2" s="83"/>
      <c r="BP2" s="85"/>
      <c r="BQ2" s="35"/>
      <c r="BR2" s="61"/>
      <c r="BS2" s="54"/>
      <c r="BT2" s="76">
        <v>240</v>
      </c>
      <c r="BU2" s="27">
        <v>34</v>
      </c>
      <c r="BV2" s="76">
        <v>5</v>
      </c>
      <c r="BW2" s="76">
        <v>1</v>
      </c>
      <c r="BX2" s="76">
        <v>1</v>
      </c>
      <c r="BY2" s="76">
        <v>1</v>
      </c>
      <c r="BZ2" s="76">
        <v>1</v>
      </c>
      <c r="CA2" s="76">
        <v>3</v>
      </c>
      <c r="CB2" s="76">
        <v>3</v>
      </c>
      <c r="CC2" s="76">
        <v>6</v>
      </c>
      <c r="CD2" s="76">
        <v>8</v>
      </c>
      <c r="CE2" s="76">
        <v>10</v>
      </c>
      <c r="CF2" s="76">
        <v>12</v>
      </c>
      <c r="CG2" s="76">
        <v>15</v>
      </c>
      <c r="CH2" s="76" t="b">
        <v>1</v>
      </c>
      <c r="CI2" s="13" t="b">
        <v>1</v>
      </c>
      <c r="CJ2" s="15">
        <v>44669</v>
      </c>
      <c r="CK2" s="15">
        <v>44703</v>
      </c>
      <c r="CL2" s="76">
        <v>6</v>
      </c>
      <c r="CM2" s="76">
        <v>10</v>
      </c>
      <c r="CN2" s="76">
        <v>12</v>
      </c>
      <c r="CO2" s="76">
        <v>15</v>
      </c>
      <c r="CP2" s="76" t="b">
        <v>1</v>
      </c>
      <c r="CQ2" s="13" t="b">
        <v>1</v>
      </c>
      <c r="CR2" s="15">
        <v>43617</v>
      </c>
      <c r="CS2" s="15">
        <v>43672</v>
      </c>
      <c r="CT2" s="131" t="s">
        <v>281</v>
      </c>
      <c r="CU2" s="131" t="b">
        <v>1</v>
      </c>
      <c r="CV2" s="131" t="b">
        <v>1</v>
      </c>
      <c r="CW2" s="131" t="b">
        <v>1</v>
      </c>
      <c r="CX2" s="131" t="b">
        <v>1</v>
      </c>
      <c r="CY2" s="131" t="b">
        <v>1</v>
      </c>
      <c r="CZ2" s="131">
        <v>2000</v>
      </c>
      <c r="DA2" s="131">
        <v>2050</v>
      </c>
      <c r="DB2" s="89">
        <v>36526</v>
      </c>
      <c r="DC2" s="89">
        <v>54789</v>
      </c>
      <c r="DD2" s="89">
        <v>44416</v>
      </c>
      <c r="LL2"/>
      <c r="LM2"/>
      <c r="LN2"/>
      <c r="LO2"/>
      <c r="LP2"/>
      <c r="LQ2"/>
      <c r="LR2"/>
      <c r="LS2"/>
      <c r="LT2"/>
      <c r="LU2"/>
      <c r="LV2"/>
      <c r="LW2"/>
      <c r="LX2"/>
      <c r="LY2"/>
      <c r="LZ2"/>
    </row>
    <row r="3" spans="1:338" x14ac:dyDescent="0.25">
      <c r="A3" s="76"/>
      <c r="B3" s="76"/>
      <c r="C3" s="76"/>
      <c r="D3" s="76"/>
      <c r="E3" s="76"/>
      <c r="F3" s="76"/>
      <c r="G3" s="76"/>
      <c r="H3" s="76"/>
      <c r="I3" s="76"/>
      <c r="J3" s="76"/>
      <c r="K3" s="76"/>
      <c r="L3" s="76"/>
      <c r="M3" s="76"/>
      <c r="N3" s="76"/>
      <c r="O3" s="76"/>
      <c r="P3" s="76"/>
      <c r="Q3" s="76"/>
      <c r="R3" s="76"/>
      <c r="S3" s="76"/>
      <c r="T3" s="76"/>
      <c r="U3" s="76"/>
      <c r="V3" s="76"/>
      <c r="W3" s="76"/>
      <c r="X3" s="76"/>
      <c r="Y3" s="76"/>
      <c r="Z3" s="76"/>
      <c r="AA3" s="76"/>
      <c r="AB3" s="76"/>
      <c r="AC3" s="76"/>
      <c r="AD3" s="76"/>
      <c r="AE3" s="76"/>
      <c r="AF3" s="76"/>
      <c r="AG3" s="76"/>
      <c r="AH3" s="76"/>
      <c r="AI3" s="76"/>
      <c r="AJ3" s="76"/>
      <c r="AK3" s="76"/>
      <c r="AL3" s="76"/>
      <c r="AM3" s="76"/>
      <c r="AN3" s="76"/>
      <c r="AO3" s="76" t="s">
        <v>76</v>
      </c>
      <c r="AP3" s="76"/>
      <c r="AQ3" s="16"/>
      <c r="AR3" s="28"/>
      <c r="AS3" s="17"/>
      <c r="AT3" s="17"/>
      <c r="AU3" s="18"/>
      <c r="AV3" s="19"/>
      <c r="AW3" s="20"/>
      <c r="AX3" s="29"/>
      <c r="AY3" s="79"/>
      <c r="AZ3" s="22"/>
      <c r="BA3" s="22"/>
      <c r="BB3" s="86"/>
      <c r="BC3" s="24"/>
      <c r="BD3" s="79"/>
      <c r="BE3" s="81"/>
      <c r="BF3" s="80"/>
      <c r="BG3" s="81"/>
      <c r="BH3" s="23"/>
      <c r="BI3" s="24"/>
      <c r="BJ3" s="33"/>
      <c r="BK3" s="24"/>
      <c r="BL3" s="34"/>
      <c r="BM3" s="59"/>
      <c r="BN3" s="20"/>
      <c r="BO3" s="83"/>
      <c r="BP3" s="85"/>
      <c r="BQ3" s="35"/>
      <c r="BR3" s="61"/>
      <c r="BS3" s="54"/>
      <c r="BT3" s="76"/>
      <c r="BU3" s="76"/>
      <c r="BV3" s="76"/>
      <c r="BW3" s="76"/>
      <c r="BX3" s="76"/>
      <c r="BY3" s="76"/>
      <c r="BZ3" s="76"/>
      <c r="CA3" s="76"/>
      <c r="CB3" s="76"/>
      <c r="CC3" s="76"/>
      <c r="CD3" s="76"/>
      <c r="CE3" s="76"/>
      <c r="CF3" s="76"/>
      <c r="CG3" s="76"/>
      <c r="CH3" s="76"/>
      <c r="CI3" s="76"/>
      <c r="CJ3" s="76"/>
      <c r="CK3" s="76"/>
      <c r="CL3" s="76"/>
      <c r="CM3" s="76"/>
      <c r="CN3" s="76"/>
      <c r="CO3" s="76"/>
      <c r="CP3" s="76"/>
      <c r="CQ3" s="76"/>
      <c r="CR3" s="76"/>
      <c r="CS3" s="76"/>
    </row>
    <row r="4" spans="1:338" x14ac:dyDescent="0.25">
      <c r="A4" s="76"/>
      <c r="B4" s="76"/>
      <c r="C4" s="76"/>
      <c r="D4" s="76"/>
      <c r="E4" s="76"/>
      <c r="F4" s="76"/>
      <c r="G4" s="76"/>
      <c r="H4" s="76"/>
      <c r="I4" s="76"/>
      <c r="J4" s="76"/>
      <c r="K4" s="76"/>
      <c r="L4" s="76"/>
      <c r="M4" s="76"/>
      <c r="N4" s="76"/>
      <c r="O4" s="76"/>
      <c r="P4" s="76"/>
      <c r="W4" s="76"/>
      <c r="X4" s="76"/>
      <c r="Y4" s="76"/>
      <c r="Z4" s="76"/>
      <c r="AA4" s="76"/>
      <c r="AB4" s="76"/>
      <c r="AC4" s="76"/>
      <c r="AD4" s="76"/>
      <c r="AE4" s="76"/>
      <c r="AF4" s="76"/>
      <c r="AG4" s="76"/>
      <c r="AH4" s="76"/>
      <c r="AI4" s="76"/>
      <c r="AJ4" s="76"/>
      <c r="AK4" s="76"/>
      <c r="AL4" s="76"/>
      <c r="AM4" s="76"/>
      <c r="AN4" s="76"/>
      <c r="AO4" s="76" t="s">
        <v>78</v>
      </c>
      <c r="AP4" s="76"/>
      <c r="AQ4" s="23"/>
      <c r="AR4" s="35"/>
      <c r="AS4" s="36"/>
      <c r="AT4" s="36"/>
      <c r="AU4" s="37"/>
      <c r="AV4" s="28"/>
      <c r="AW4" s="20"/>
      <c r="AX4" s="38"/>
      <c r="AY4" s="39"/>
      <c r="AZ4" s="84"/>
      <c r="BA4" s="84"/>
      <c r="BB4" s="36"/>
      <c r="BC4" s="23"/>
      <c r="BD4" s="79"/>
      <c r="BE4" s="81"/>
      <c r="BF4" s="80"/>
      <c r="BG4" s="81"/>
      <c r="BH4" s="32"/>
      <c r="BI4" s="40"/>
      <c r="BJ4" s="76"/>
      <c r="BK4" s="76"/>
      <c r="BL4" s="34"/>
      <c r="BM4" s="55"/>
      <c r="BN4" s="20"/>
      <c r="BO4" s="83"/>
      <c r="BP4" s="85"/>
      <c r="BQ4" s="35"/>
      <c r="BR4" s="61"/>
      <c r="BS4" s="54"/>
      <c r="BT4" s="76"/>
      <c r="BU4" s="76"/>
      <c r="BV4" s="76"/>
      <c r="BW4" s="76"/>
      <c r="BX4" s="76"/>
      <c r="BY4" s="76"/>
      <c r="BZ4" s="76"/>
      <c r="CA4" s="76"/>
      <c r="CB4" s="76"/>
      <c r="CC4" s="76"/>
      <c r="CD4" s="76"/>
      <c r="CE4" s="76"/>
      <c r="CF4" s="76"/>
      <c r="CG4" s="76"/>
      <c r="CH4" s="76"/>
      <c r="CI4" s="76"/>
      <c r="CJ4" s="76"/>
      <c r="CK4" s="76"/>
      <c r="CL4" s="76"/>
      <c r="CM4" s="76"/>
      <c r="CN4" s="76"/>
      <c r="CO4" s="76"/>
      <c r="CP4" s="76"/>
      <c r="CQ4" s="76"/>
      <c r="CR4" s="76"/>
      <c r="CS4" s="76"/>
    </row>
    <row r="5" spans="1:338" x14ac:dyDescent="0.25">
      <c r="A5" s="76"/>
      <c r="B5" s="76"/>
      <c r="C5" s="76"/>
      <c r="D5" s="76"/>
      <c r="E5" s="76"/>
      <c r="F5" s="76"/>
      <c r="G5" s="76"/>
      <c r="H5" s="76"/>
      <c r="I5" s="76"/>
      <c r="J5" s="76"/>
      <c r="K5" s="76"/>
      <c r="L5" s="76"/>
      <c r="M5" s="76"/>
      <c r="N5" s="76"/>
      <c r="O5" s="76"/>
      <c r="P5" s="76"/>
      <c r="W5" s="76"/>
      <c r="X5" s="76"/>
      <c r="Y5" s="76"/>
      <c r="Z5" s="76"/>
      <c r="AA5" s="76"/>
      <c r="AB5" s="76"/>
      <c r="AC5" s="76"/>
      <c r="AD5" s="76"/>
      <c r="AE5" s="76"/>
      <c r="AF5" s="76"/>
      <c r="AG5" s="76"/>
      <c r="AH5" s="76"/>
      <c r="AI5" s="76"/>
      <c r="AJ5" s="76"/>
      <c r="AK5" s="76"/>
      <c r="AL5" s="76"/>
      <c r="AM5" s="76"/>
      <c r="AN5" s="76"/>
      <c r="AO5" s="76" t="s">
        <v>75</v>
      </c>
      <c r="AP5" s="76"/>
      <c r="AQ5" s="41"/>
      <c r="AR5" s="82"/>
      <c r="AS5" s="42"/>
      <c r="AT5" s="42"/>
      <c r="AU5" s="43"/>
      <c r="AV5" s="44"/>
      <c r="AW5" s="20"/>
      <c r="AX5" s="29"/>
      <c r="AY5" s="45"/>
      <c r="AZ5" s="30"/>
      <c r="BA5" s="30"/>
      <c r="BB5" s="34"/>
      <c r="BC5" s="46"/>
      <c r="BD5" s="79"/>
      <c r="BE5" s="81"/>
      <c r="BF5" s="80"/>
      <c r="BG5" s="81"/>
      <c r="BH5" s="47"/>
      <c r="BI5" s="31"/>
      <c r="BJ5" s="55"/>
      <c r="BK5" s="33"/>
      <c r="BL5" s="34"/>
      <c r="BM5" s="55"/>
      <c r="BN5" s="20"/>
      <c r="BO5" s="83"/>
      <c r="BP5" s="85"/>
      <c r="BQ5" s="35"/>
      <c r="BR5" s="61"/>
      <c r="BS5" s="54"/>
      <c r="BT5" s="76"/>
      <c r="BU5" s="76"/>
      <c r="BV5" s="76"/>
      <c r="BW5" s="76"/>
      <c r="BX5" s="76"/>
      <c r="BY5" s="76"/>
      <c r="BZ5" s="76"/>
      <c r="CA5" s="76"/>
      <c r="CB5" s="76"/>
      <c r="CC5" s="76"/>
      <c r="CD5" s="76"/>
      <c r="CE5" s="76"/>
      <c r="CF5" s="76"/>
      <c r="CG5" s="76"/>
      <c r="CH5" s="76"/>
      <c r="CI5" s="76"/>
      <c r="CJ5" s="76"/>
      <c r="CK5" s="76"/>
      <c r="CL5" s="76"/>
      <c r="CM5" s="76"/>
      <c r="CN5" s="76"/>
      <c r="CO5" s="76"/>
      <c r="CP5" s="76"/>
      <c r="CQ5" s="76"/>
      <c r="CR5" s="76"/>
      <c r="CS5" s="76"/>
    </row>
    <row r="6" spans="1:338" x14ac:dyDescent="0.25">
      <c r="A6" s="76"/>
      <c r="B6" s="76"/>
      <c r="C6" s="76"/>
      <c r="D6" s="76"/>
      <c r="E6" s="76"/>
      <c r="F6" s="76"/>
      <c r="G6" s="76"/>
      <c r="H6" s="76"/>
      <c r="I6" s="76"/>
      <c r="J6" s="76"/>
      <c r="K6" s="76"/>
      <c r="L6" s="76"/>
      <c r="M6" s="76"/>
      <c r="N6" s="76"/>
      <c r="O6" s="76"/>
      <c r="P6" s="76"/>
      <c r="W6" s="76"/>
      <c r="X6" s="76"/>
      <c r="Y6" s="76"/>
      <c r="Z6" s="76"/>
      <c r="AA6" s="76"/>
      <c r="AB6" s="76"/>
      <c r="AC6" s="76"/>
      <c r="AD6" s="76"/>
      <c r="AE6" s="76"/>
      <c r="AF6" s="76"/>
      <c r="AG6" s="76"/>
      <c r="AH6" s="76"/>
      <c r="AI6" s="76"/>
      <c r="AJ6" s="76"/>
      <c r="AK6" s="76"/>
      <c r="AL6" s="76"/>
      <c r="AM6" s="76"/>
      <c r="AN6" s="76"/>
      <c r="AO6" s="76" t="s">
        <v>79</v>
      </c>
      <c r="AP6" s="76"/>
      <c r="AQ6" s="16"/>
      <c r="AR6" s="28"/>
      <c r="AS6" s="17"/>
      <c r="AT6" s="17"/>
      <c r="AU6" s="18"/>
      <c r="AV6" s="19"/>
      <c r="AW6" s="20"/>
      <c r="AX6" s="29"/>
      <c r="AY6" s="79"/>
      <c r="AZ6" s="22"/>
      <c r="BA6" s="22"/>
      <c r="BB6" s="86"/>
      <c r="BC6" s="24"/>
      <c r="BD6" s="79"/>
      <c r="BE6" s="81"/>
      <c r="BF6" s="80"/>
      <c r="BG6" s="81"/>
      <c r="BH6" s="23"/>
      <c r="BI6" s="24"/>
      <c r="BJ6" s="33"/>
      <c r="BK6" s="24"/>
      <c r="BL6" s="34"/>
      <c r="BM6" s="59"/>
      <c r="BN6" s="20"/>
      <c r="BO6" s="83"/>
      <c r="BP6" s="85"/>
      <c r="BQ6" s="35"/>
      <c r="BR6" s="61"/>
      <c r="BS6" s="54"/>
      <c r="BT6" s="76"/>
      <c r="BU6" s="76"/>
      <c r="BV6" s="76"/>
      <c r="BW6" s="76"/>
      <c r="BX6" s="76"/>
      <c r="BY6" s="76"/>
      <c r="BZ6" s="76"/>
      <c r="CA6" s="76"/>
      <c r="CB6" s="76"/>
      <c r="CC6" s="76"/>
      <c r="CD6" s="76"/>
      <c r="CE6" s="76"/>
      <c r="CF6" s="76"/>
      <c r="CG6" s="76"/>
      <c r="CH6" s="76"/>
      <c r="CI6" s="76"/>
      <c r="CJ6" s="76"/>
      <c r="CK6" s="76"/>
      <c r="CL6" s="76"/>
      <c r="CM6" s="76"/>
      <c r="CN6" s="76"/>
      <c r="CO6" s="76"/>
      <c r="CP6" s="76"/>
      <c r="CQ6" s="76"/>
      <c r="CR6" s="76"/>
      <c r="CS6" s="76"/>
    </row>
    <row r="7" spans="1:338" x14ac:dyDescent="0.25">
      <c r="A7" s="76"/>
      <c r="B7" s="76"/>
      <c r="C7" s="76"/>
      <c r="D7" s="76"/>
      <c r="E7" s="76"/>
      <c r="F7" s="76"/>
      <c r="G7" s="76"/>
      <c r="H7" s="76"/>
      <c r="I7" s="76"/>
      <c r="J7" s="76"/>
      <c r="K7" s="76"/>
      <c r="L7" s="76"/>
      <c r="M7" s="76"/>
      <c r="N7" s="76"/>
      <c r="O7" s="76"/>
      <c r="P7" s="76"/>
      <c r="Q7" s="76"/>
      <c r="R7" s="76"/>
      <c r="S7" s="76"/>
      <c r="T7" s="76"/>
      <c r="U7" s="76"/>
      <c r="V7" s="76"/>
      <c r="W7" s="76"/>
      <c r="X7" s="76"/>
      <c r="Y7" s="76"/>
      <c r="Z7" s="76"/>
      <c r="AA7" s="76"/>
      <c r="AB7" s="76"/>
      <c r="AC7" s="76"/>
      <c r="AD7" s="76"/>
      <c r="AE7" s="76"/>
      <c r="AF7" s="76"/>
      <c r="AG7" s="76"/>
      <c r="AH7" s="76"/>
      <c r="AI7" s="76"/>
      <c r="AJ7" s="76"/>
      <c r="AK7" s="76"/>
      <c r="AL7" s="76"/>
      <c r="AM7" s="76"/>
      <c r="AN7" s="76"/>
      <c r="AO7" s="76"/>
      <c r="AP7" s="76"/>
      <c r="AQ7" s="16"/>
      <c r="AR7" s="28"/>
      <c r="AS7" s="17"/>
      <c r="AT7" s="17"/>
      <c r="AU7" s="18"/>
      <c r="AV7" s="19"/>
      <c r="AW7" s="20"/>
      <c r="AX7" s="29"/>
      <c r="AY7" s="79"/>
      <c r="AZ7" s="22"/>
      <c r="BA7" s="22"/>
      <c r="BB7" s="86"/>
      <c r="BC7" s="24"/>
      <c r="BD7" s="79"/>
      <c r="BE7" s="81"/>
      <c r="BF7" s="80"/>
      <c r="BG7" s="81"/>
      <c r="BH7" s="23"/>
      <c r="BI7" s="24"/>
      <c r="BJ7" s="33"/>
      <c r="BK7" s="24"/>
      <c r="BL7" s="34"/>
      <c r="BM7" s="59"/>
      <c r="BN7" s="20"/>
      <c r="BO7" s="83"/>
      <c r="BP7" s="85"/>
      <c r="BQ7" s="35"/>
      <c r="BR7" s="61"/>
      <c r="BS7" s="54"/>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row>
  </sheetData>
  <sheetProtection formatCells="0" formatColumns="0" formatRows="0" insertHyperlinks="0" autoFilter="0"/>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2"/>
  <sheetViews>
    <sheetView workbookViewId="0"/>
  </sheetViews>
  <sheetFormatPr defaultRowHeight="15" x14ac:dyDescent="0.25"/>
  <sheetData>
    <row r="1" spans="1:20" x14ac:dyDescent="0.25">
      <c r="A1" t="s">
        <v>225</v>
      </c>
      <c r="B1" t="s">
        <v>248</v>
      </c>
      <c r="C1" t="s">
        <v>249</v>
      </c>
      <c r="D1" t="s">
        <v>250</v>
      </c>
      <c r="K1" t="s">
        <v>251</v>
      </c>
      <c r="L1" t="s">
        <v>252</v>
      </c>
      <c r="M1" t="s">
        <v>253</v>
      </c>
      <c r="N1" t="s">
        <v>254</v>
      </c>
      <c r="O1" t="s">
        <v>255</v>
      </c>
      <c r="P1" t="s">
        <v>256</v>
      </c>
      <c r="Q1" t="s">
        <v>257</v>
      </c>
      <c r="R1" t="s">
        <v>258</v>
      </c>
      <c r="S1" t="s">
        <v>259</v>
      </c>
      <c r="T1" t="s">
        <v>260</v>
      </c>
    </row>
    <row r="2" spans="1:20" x14ac:dyDescent="0.25">
      <c r="A2" t="s">
        <v>261</v>
      </c>
      <c r="C2" t="b">
        <v>0</v>
      </c>
      <c r="E2" s="132" t="s">
        <v>262</v>
      </c>
      <c r="K2" s="133">
        <v>0.375</v>
      </c>
      <c r="L2" s="133">
        <v>0.75</v>
      </c>
      <c r="M2">
        <v>0</v>
      </c>
      <c r="N2">
        <v>1</v>
      </c>
      <c r="O2">
        <v>1</v>
      </c>
      <c r="P2">
        <v>1</v>
      </c>
      <c r="Q2">
        <v>1</v>
      </c>
      <c r="R2">
        <v>1</v>
      </c>
      <c r="S2">
        <v>0</v>
      </c>
    </row>
  </sheetData>
  <pageMargins left="0.7" right="0.7" top="0.75" bottom="0.75" header="0.3" footer="0.3"/>
</worksheet>
</file>

<file path=customUI/_rels/customUI.xml.rels><?xml version="1.0" encoding="UTF-8" standalone="yes"?>
<Relationships xmlns="http://schemas.openxmlformats.org/package/2006/relationships"><Relationship Id="addtaskbelowselection.png" Type="http://schemas.openxmlformats.org/officeDocument/2006/relationships/image" Target="images/addtaskbelowselection.png"/><Relationship Id="Upgrade64.png" Type="http://schemas.openxmlformats.org/officeDocument/2006/relationships/image" Target="images/Upgrade64.png"/><Relationship Id="ExportToPDF.png" Type="http://schemas.openxmlformats.org/officeDocument/2006/relationships/image" Target="images/ExportToPDF.png"/><Relationship Id="Settings64.png" Type="http://schemas.openxmlformats.org/officeDocument/2006/relationships/image" Target="images/Settings64.png"/><Relationship Id="addtaskatselection.png" Type="http://schemas.openxmlformats.org/officeDocument/2006/relationships/image" Target="images/addtaskatselection.png"/><Relationship Id="duplicate64.png" Type="http://schemas.openxmlformats.org/officeDocument/2006/relationships/image" Target="images/duplicate64.png"/><Relationship Id="Resources64.png" Type="http://schemas.openxmlformats.org/officeDocument/2006/relationships/image" Target="images/Resources64.png"/><Relationship Id="moveupblue16.png" Type="http://schemas.openxmlformats.org/officeDocument/2006/relationships/image" Target="images/moveupblue16.png"/><Relationship Id="ScrolltoEnd.png" Type="http://schemas.openxmlformats.org/officeDocument/2006/relationships/image" Target="images/ScrolltoEnd.png"/><Relationship Id="YearlyView.png" Type="http://schemas.openxmlformats.org/officeDocument/2006/relationships/image" Target="images/YearlyView.png"/><Relationship Id="DailyView.png" Type="http://schemas.openxmlformats.org/officeDocument/2006/relationships/image" Target="images/DailyView.png"/><Relationship Id="SetupTimeline.png" Type="http://schemas.openxmlformats.org/officeDocument/2006/relationships/image" Target="images/SetupTimeline.png"/><Relationship Id="AddTask.png" Type="http://schemas.openxmlformats.org/officeDocument/2006/relationships/image" Target="images/AddTask64.png"/><Relationship Id="HalfYearlyView.png" Type="http://schemas.openxmlformats.org/officeDocument/2006/relationships/image" Target="images/HalfYearlyView.png"/><Relationship Id="editproject.png" Type="http://schemas.openxmlformats.org/officeDocument/2006/relationships/image" Target="images/editproject.png"/><Relationship Id="AddSection64.png" Type="http://schemas.openxmlformats.org/officeDocument/2006/relationships/image" Target="images/AddSection64.png"/><Relationship Id="makeparent16.png" Type="http://schemas.openxmlformats.org/officeDocument/2006/relationships/image" Target="images/makeparent16.png"/><Relationship Id="ExportToXLSX.png" Type="http://schemas.openxmlformats.org/officeDocument/2006/relationships/image" Target="images/ExportToXLSX.png"/><Relationship Id="DailyView64.png" Type="http://schemas.openxmlformats.org/officeDocument/2006/relationships/image" Target="images/daily64.png"/><Relationship Id="QuarterlyView.png" Type="http://schemas.openxmlformats.org/officeDocument/2006/relationships/image" Target="images/QuarterlyView.png"/><Relationship Id="MonthlyView.png" Type="http://schemas.openxmlformats.org/officeDocument/2006/relationships/image" Target="images/MonthlyView.png"/><Relationship Id="HourlyView.png" Type="http://schemas.openxmlformats.org/officeDocument/2006/relationships/image" Target="images/HourlyView.png"/><Relationship Id="movedownblue16.png" Type="http://schemas.openxmlformats.org/officeDocument/2006/relationships/image" Target="images/movedownblue16.png"/><Relationship Id="About64.png" Type="http://schemas.openxmlformats.org/officeDocument/2006/relationships/image" Target="images/About64.png"/><Relationship Id="dash64.png" Type="http://schemas.openxmlformats.org/officeDocument/2006/relationships/image" Target="images/dash64.png"/><Relationship Id="AddMilestone.png" Type="http://schemas.openxmlformats.org/officeDocument/2006/relationships/image" Target="images/AddMilestone.png"/><Relationship Id="WeeklyView.png" Type="http://schemas.openxmlformats.org/officeDocument/2006/relationships/image" Target="images/WeeklyView.png"/><Relationship Id="deleteTask64.png" Type="http://schemas.openxmlformats.org/officeDocument/2006/relationships/image" Target="images/deleteTask64.png"/><Relationship Id="makechild16.png" Type="http://schemas.openxmlformats.org/officeDocument/2006/relationships/image" Target="images/makechild16.png"/><Relationship Id="ScrolltoStart.png" Type="http://schemas.openxmlformats.org/officeDocument/2006/relationships/image" Target="images/ScrolltoStart.png"/><Relationship Id="ScrolltoToday.png" Type="http://schemas.openxmlformats.org/officeDocument/2006/relationships/image" Target="images/ScrolltoToday.png"/><Relationship Id="moreviews.png" Type="http://schemas.openxmlformats.org/officeDocument/2006/relationships/image" Target="images/moreviews.png"/><Relationship Id="EditTask64.png" Type="http://schemas.openxmlformats.org/officeDocument/2006/relationships/image" Target="images/EditTask64.png"/><Relationship Id="AddGanttChart64.png" Type="http://schemas.openxmlformats.org/officeDocument/2006/relationships/image" Target="images/AddGanttChart64.png"/></Relationships>
</file>

<file path=customUI/customUI.xml><?xml version="1.0" encoding="utf-8"?>
<customUI xmlns="http://schemas.microsoft.com/office/2006/01/customui" onLoad="OnRibbonLoad">
  <ribbon startFromScratch="false">
    <tabs>
      <tab idMso="TabHome">
        <group idMso="GroupEditingExcel" visible="false"> 
				</group>
        <group idMso="GroupCells" visible="false"> 
				</group>
      </tab>
      <tab idMso="TabData">
        <group idMso="GroupSortFilter" visible="false"> 
				</group>
      </tab>
      <tab idMso="TabReview" visible="false">   
</tab>
      <tab id="tabGantt" insertBeforeMso="TabHome" label="GANTT" keytip="G">
        <group id="grpGanttCharts" label="Gantt Charts" getVisible="GetVisible">
          <button id="btnAddGanttChart" label="Add New Gantt Chart" size="large" onAction="OnActionButton" image="AddGanttChart64.png" getEnabled="GetEnabled" keytip="C" screentip="Add New Gantt Chart Worksheet"/>
          <button id="btnEditGanttChart" label="Edit Project" size="normal" onAction="btnEditGanttChart" image="editproject.png" getEnabled="GetEnabled" keytip="P" screentip="Edit Project Details"/>
          <button id="btnDashboard" label="Dashboard" size="normal" onAction="btnDashboardRib" image="dash64.png" keytip="B" getEnabled="GetEnabled" screentip="Generate Project Dashboard"/>
        </group>
        <group id="grpCreateEditDelete" label="Tasks" getVisible="GetVisible">
          <button id="btnAddTaskAtSelection" label="Add Task" size="large" onAction="AddTaskAtSelection" image="AddTask.png" keytip="A" getEnabled="GetEnabled" screentip="Add Task"/>
          <button id="btnSetMilestone" label="Add Milestone" size="large" onAction="AddMilestone" getEnabled="GetEnabled" image="AddMilestone.png" keytip="M" screentip="Add Milestone"/>
          <button id="btnEdit" label="Edit" size="normal" onAction="EditTask" getEnabled="GetEnabled" image="EditTask64.png" screentip="Edit task" keytip="E"/>
          <button id="btnDuplicate" label="Duplicate" screentip="Duplicate task" image="duplicate64.png" onAction="DuplicateTaskRib" size="normal" getEnabled="GetEnabled" keytip="D"/>
          <button id="btnDelete" label="Delete" screentip="Delete task" image="deleteTask64.png" onAction="DeleteTask" size="normal" getEnabled="GetEnabled" keytip="X"/>
          <separator id="sepIndent"/>
          <button id="btnParent" label="Make Parent" size="normal" screentip="Set as Parent Task" supertip="Alt + Left Arrow" image="makeparent16.png" onAction="tIndentLeft" keytip="TP" getEnabled="GetEnabled"/>
          <button id="btnChild" label="Make Child" size="normal" screentip="Set as Child Task" supertip="Alt + Right Arrow" image="makechild16.png" onAction="tIndentRight" keytip="TC" getEnabled="GetEnabled"/>
          <separator id="sep199"/>
          <button id="btnMoveUp" label="Move Up" size="normal" screentip="Move task up" supertip="Alt + Up Arrow" image="moveupblue16.png" onAction="MoveUpAboveRib" keytip="TU" getEnabled="GetEnabled"/>
          <button id="btnMoveDown" label="Move Down" size="normal" screentip="Move task down" supertip="Alt + Down Arrow" image="movedownblue16.png" onAction="MoveDownBelowRib" keytip="TD" getEnabled="GetEnabled"/>
        </group>
        <group id="grpDisplay6" label=" " getVisible="GetVisible">
          <button id="btnHourly" onAction="HourlyViewRib" label="Hourly View" image="HourlyView.png" screentip="Hourly View" size="large" getVisible="GetVisiblev" getEnabled="GetEnabled" keytip="VH"/>
        </group>
        <group id="grpDisplay1" label="Timeline" getVisible="GetVisible">
          <button id="btnDaily" label="Daily View" onAction="DailyViewRib" getEnabled="GetEnabled" image="DailyView64.png" screentip="Daily View" size="large" keytip="VD"/>
          <menu id="mnuMoreViews" label="More Views" image="moreviews.png" size="large" itemSize="large" screentip="More Views" keytip="VE">
            <button id="btnWeekly" label="Weekly View" onAction="WeeklyViewRib" getEnabled="GetEnabled" image="WeeklyView.png" screentip="Weekly View" keytip="VW"/>
            <button id="btnMonthly" label="Monthly View" onAction="MonthlyViewRib" getEnabled="GetEnabled" image="MonthlyView.png" screentip="Monthly View" keytip="VM"/>
            <button id="btnQuarterlyView" label="&amp;Quarterly View" onAction="OnActionButton" image="QuarterlyView.png" getEnabled="GetEnabled" screentip="Quarterly View"/>
            <button id="btnHalfYearlyView" label="&amp;Half Yearly View" onAction="OnActionButton" image="HalfYearlyView.png" getEnabled="GetEnabled" screentip="Half Yearly View"/>
            <button id="btnYearlyView" label="&amp;Yearly View" onAction="OnActionButton" image="YearlyView.png" getEnabled="GetEnabled" screentip="Yearly View"/>
          </menu>
          <separator id="timelinesep1"/>
          <button id="btnSetupTimeline" label="Setup Timeline" onAction="SetupTimelineRib" getEnabled="GetEnabled" image="SetupTimeline.png" screentip="Setup Timeline Dates" size="normal"/>
          <checkBox id="ShowTimeline" label="Show Timeline" onAction="OnActionCheckbox" getPressed="GetPressedCheckbox" getEnabled="GetEnabled"/>
          <checkBox id="RefreshTimeline" label="Refresh Timeline" onAction="OnActionCheckbox" getPressed="GetPressedCheckbox" getEnabled="GetEnabled"/>
          <button id="btnGotoStart" label="Scroll to Start" onAction="GotoStartRib" getEnabled="GetEnabled" image="ScrolltoStart.png" screentip="Scroll to start of project" keytip="SS" size="normal"/>
          <button id="btnGotoToday" label="Scroll to Today" onAction="GotoTodayRib" getEnabled="GetEnabled" image="ScrolltoToday.png" screentip="Scroll to today" keytip="ST" size="normal"/>
          <button id="btnGotoEnd" label="Scroll to End" onAction="GotoEndRib" getEnabled="GetEnabled" image="ScrolltoEnd.png" keytip="SE" screentip="Scroll to end of project" size="normal"/>
        </group>
        <group id="grpDisplay5" label="Filters" getVisible="GetVisible">
          <checkBox id="chkShowCompleted" label="Show Completed" onAction="OnActionCheckbox" getPressed="GetPressedCheckbox" getEnabled="GetEnabled"/>
          <checkBox id="chkShowInProgress" label="Show In Progress" onAction="OnActionCheckbox" getPressed="GetPressedCheckbox" getEnabled="GetEnabled"/>
          <checkBox id="chkShowPlanned" label="Show Planned" onAction="OnActionCheckbox" getPressed="GetPressedCheckbox" getEnabled="GetEnabled"/>
        </group>
        <group id="grpDisplay3" label="Groups" getVisible="GetVisible">
          <checkBox id="chkEnableGrouping" label="Enable Grouping" onAction="OnActionCheckbox" getPressed="GetPressedCheckbox" getEnabled="GetEnabled"/>
          <button id="btnExpandAllGroups" label="Expand Groups" size="normal" screentip="Expand task group" imageMso="OutlineShowDetail" onAction="OutlineShowDetailRib" getEnabled="GetEnabled"/>
          <button id="btnCollapseAllGroups" label="Collapse Groups" size="normal" screentip="Collapse group" imageMso="OutlineHideDetail" onAction="OutlineHideDetailRib" getEnabled="GetEnabled"/>
        </group>
        <group id="grpDisplay" label="Height/Width" getVisible="GetVisible">
          <button id="btnSetRowHeight" label="Row Height" size="normal" screentip="Sets row height for all tasks" imageMso="RowHeight" onAction="SetRowHeightRib" getEnabled="GetEnabled"/>
          <button id="btnSetColumnWidth" label="Column Width" size="normal" screentip="Sets row height for selected column" imageMso="ColumnWidth" onAction="SetColumnWidthRib" getEnabled="GetEnabled"/>
          <button idMso="ColumnWidthAutoFit" size="normal" imageMso="ColumnWidth" label="Auto Col Width" onAction="OnActionButton" getEnabled="GetEnabled"/>
        </group>
        <group id="Upgrade" label=" " getVisible="GetVisible">
          <button id="btnUpgrade" size="large" getLabel="getlabelF" image="Upgrade64.png" onAction="UpgradeLicense" getVisible="GetVisible" getEnabled="GetEnabled"/>
        </group>
        <group id="grpSettings1" label="Settings" getVisible="GetVisible">
          <button id="btnResources" size="large" label="Resources" image="Resources64.png" onAction="ShowResources" getEnabled="GetEnabled" keytip="R"/>
          <button id="btnSettings" size="large" label="Settings" image="Settings64.png" onAction="ShowSettings" keytip="N" getEnabled="GetEnabled"/>
          <button id="btnExportToPDF" size="large" label="Export to PDF" image="ExportToPDF.png" onAction="ExportToPDF" getEnabled="GetEnabled"/>
          <button id="btnExportToXLSX" size="large" label="Export to XLSX" image="ExportToXLSX.png" onAction="ExportToXLSX" getEnabled="GetEnabled"/>
        </group>
        <group id="grpAboutGanttExcel" label="Gantt Excel">
          <button id="btnAbout" label="About" screentip="About Gantt Excel" image="About64.png" keytip="O" onAction="AboutPopUpRib"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Project Plan</vt:lpstr>
      <vt:lpstr>Help</vt:lpstr>
      <vt:lpstr>GanttDashboardTemplate!Print_Area</vt:lpstr>
      <vt:lpstr>GanttDashboardTemplate!Print_Titles</vt:lpstr>
    </vt:vector>
  </TitlesOfParts>
  <Company>GanttExcel.Com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Excel Template</dc:title>
  <dc:creator>ganttexcel.com</dc:creator>
  <cp:keywords>Project Timeline</cp:keywords>
  <cp:lastModifiedBy>nguyen tho thong</cp:lastModifiedBy>
  <cp:revision>0</cp:revision>
  <cp:lastPrinted>2021-08-08T06:33:54Z</cp:lastPrinted>
  <dcterms:created xsi:type="dcterms:W3CDTF">2016-09-10T13:03:48Z</dcterms:created>
  <dcterms:modified xsi:type="dcterms:W3CDTF">2022-04-18T00:44:54Z</dcterms:modified>
  <cp:category>Excel Template</cp:category>
  <cp:version>3.0</cp:version>
</cp:coreProperties>
</file>