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183" documentId="13_ncr:1_{9C206D2D-7EEC-416B-A66F-96CA2F78151C}" xr6:coauthVersionLast="47" xr6:coauthVersionMax="47" xr10:uidLastSave="{D2C6B030-90C1-4AD7-A677-8ECBB3A01E48}"/>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<sst xmlns="http://schemas.openxmlformats.org/spreadsheetml/2006/main" count="982" uniqueCount="356">
  <si>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</si>
  <si>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</si>
  <si>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</si>
  <si>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</si>
  <si>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</si>
  <si>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</si>
  <si>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</si>
  <si>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</si>
  <si>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</si>
  <si>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</si>
  <si>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</si>
  <si>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</si>
  <si>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</si>
  <si>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</si>
  <si>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</si>
  <si>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</si>
  <si>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</si>
  <si>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</si>
  <si>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</si>
  <si>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</si>
  <si>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</si>
  <si>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</si>
  <si>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</si>
  <si>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</si>
  <si>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</si>
  <si>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</si>
  <si>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</si>
  <si>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</si>
  <si>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</si>
  <si>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</si>
  <si>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</si>
  <si>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</si>
  <si>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</si>
  <si>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</si>
  <si>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</si>
  <si>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</si>
  <si>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</si>
  <si>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</si>
  <si>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</si>
  <si>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</si>
  <si>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</si>
  <si>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</si>
  <si>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</si>
  <si>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</si>
  <si>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</si>
  <si>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</si>
  <si>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</si>
  <si>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</si>
  <si>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</si>
  <si>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</si>
  <si>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</si>
  <si>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</si>
  <si>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</si>
  <si>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</si>
  <si>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</si>
  <si>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</si>
  <si>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</si>
  <si>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</si>
  <si>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</si>
  <si>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</si>
  <si>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</si>
  <si>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</si>
  <si>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</si>
  <si>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</si>
  <si>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</si>
  <si>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</si>
  <si>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</si>
  <si>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</si>
  <si>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</si>
  <si>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</si>
  <si>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</si>
  <si>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</si>
  <si>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</si>
  <si>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</si>
  <si>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</si>
  <si>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</si>
  <si>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</si>
  <si>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</si>
  <si>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</si>
  <si>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</si>
  <si>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</si>
  <si>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</si>
  <si>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</si>
  <si>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</si>
  <si>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</si>
  <si>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</si>
  <si>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</si>
  <si>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</si>
  <si>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</si>
  <si>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</si>
  <si>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</si>
  <si>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</si>
  <si>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</si>
  <si>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</si>
  <si>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</si>
  <si>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</si>
  <si>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</si>
  <si>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</si>
  <si>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</si>
  <si>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</si>
  <si>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</si>
  <si>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</si>
  <si>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</si>
  <si>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</si>
  <si>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</si>
  <si>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</si>
  <si>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</si>
  <si>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</si>
  <si>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</si>
  <si>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</si>
  <si>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</si>
  <si>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</si>
  <si>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</si>
  <si>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</si>
  <si>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</si>
  <si>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</si>
  <si>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</si>
  <si>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</si>
  <si>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</si>
  <si>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</si>
  <si>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</si>
  <si>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</si>
  <si>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</si>
  <si>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</si>
  <si>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</si>
  <si>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</si>
  <si>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</si>
  <si>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</si>
  <si>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</si>
  <si>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</si>
  <si>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</si>
  <si>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</si>
  <si>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</si>
  <si>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</si>
  <si>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</si>
  <si>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</si>
  <si>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</si>
  <si>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</si>
  <si>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</si>
  <si>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</si>
  <si>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</si>
  <si>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</si>
  <si>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</si>
  <si>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</si>
  <si>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</si>
  <si>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</si>
  <si>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</si>
  <si>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</si>
  <si>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</si>
  <si>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</si>
  <si>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</si>
  <si>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</si>
  <si>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</si>
  <si>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</si>
  <si>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</si>
  <si>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</si>
  <si>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</si>
  <si>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Arial"/>
        <family val="2"/>
        <scheme val="minor"/>
      </rPr>
      <t>Gantt Excel</t>
    </r>
    <r>
      <rPr>
        <sz val="28"/>
        <color theme="1"/>
        <rFont val="Arial"/>
        <family val="2"/>
        <scheme val="minor"/>
      </rPr>
      <t xml:space="preserve"> - </t>
    </r>
    <r>
      <rPr>
        <sz val="28"/>
        <color theme="9" tint="-0.249977111117893"/>
        <rFont val="Arial"/>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</si>
  <si>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</si>
  <si>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</si>
  <si>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</si>
  <si>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</si>
  <si>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</si>
  <si>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</si>
  <si>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</si>
  <si>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</si>
  <si>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</si>
  <si>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</si>
  <si>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</si>
  <si>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</si>
  <si>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</si>
  <si>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</si>
  <si>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</si>
  <si>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</si>
  <si>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</si>
  <si>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</si>
  <si>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</si>
  <si>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</si>
  <si>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</si>
  <si>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</si>
  <si>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</si>
  <si>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</si>
  <si>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</si>
  <si>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</si>
  <si>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</si>
  <si>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</si>
  <si>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</si>
  <si>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</si>
  <si>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</si>
  <si>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</si>
  <si>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</si>
  <si>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</si>
  <si>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</si>
  <si>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</si>
  <si>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</si>
  <si>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</si>
  <si>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</si>
  <si>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</si>
  <si>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</si>
  <si>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</si>
  <si>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</si>
  <si>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</si>
  <si>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</si>
  <si>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</si>
  <si>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</si>
  <si>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</si>
  <si>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</si>
  <si>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</si>
  <si>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</si>
  <si>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</si>
  <si>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</si>
  <si>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</si>
  <si>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</si>
  <si>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</si>
  <si>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</si>
  <si>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</si>
  <si>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</si>
  <si>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</si>
  <si>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</si>
  <si>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</si>
  <si>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</si>
  <si>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</si>
  <si>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</si>
  <si>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</si>
  <si>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</si>
  <si>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</si>
  <si>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</si>
  <si>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</si>
  <si>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</si>
  <si>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</si>
  <si>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</si>
  <si>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</si>
  <si>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</si>
  <si>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</si>
  <si>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</si>
  <si>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</si>
  <si>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</si>
  <si>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</si>
  <si>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</si>
  <si>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</si>
  <si>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</si>
  <si>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</si>
  <si>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</si>
  <si>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</si>
  <si>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</si>
  <si>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</si>
  <si>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</si>
  <si>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</si>
  <si>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</si>
  <si>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</si>
  <si>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</si>
  <si>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</si>
  <si>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</si>
  <si>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</si>
  <si>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</si>
  <si>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</si>
  <si>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</si>
  <si>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</si>
  <si>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</si>
  <si>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</si>
  <si>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</si>
  <si>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</si>
  <si>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</si>
  <si>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</si>
  <si>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</si>
  <si>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</si>
  <si>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</si>
  <si>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</si>
  <si>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</si>
  <si>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</si>
  <si>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</si>
  <si>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</si>
  <si>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</si>
  <si>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</si>
  <si>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</si>
  <si>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</si>
  <si>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</si>
  <si>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</si>
  <si>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</si>
  <si>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</si>
  <si>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</si>
  <si>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</si>
  <si>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</si>
  <si>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Type here to add a new task</t>
  </si>
  <si>
    <t>Project Lead: Click to edit</t>
  </si>
  <si>
    <t>thong</t>
  </si>
  <si>
    <t>9031419786979019629490109259235292593497</t>
  </si>
  <si>
    <t>Quick Start Guide</t>
  </si>
  <si>
    <t>1</t>
  </si>
  <si>
    <r>
      <t>Project Budget</t>
    </r>
    <r>
      <rPr>
        <sz val="10"/>
        <color rgb="FF808080"/>
        <rFont val="Arial"/>
        <family val="2"/>
        <scheme val="minor"/>
      </rPr>
      <t xml:space="preserve">: Estimated: $0.00 | Baseline: $0.00 | </t>
    </r>
    <r>
      <rPr>
        <b/>
        <sz val="10"/>
        <color rgb="FF808080"/>
        <rFont val="Arial"/>
        <family val="2"/>
        <scheme val="minor"/>
      </rPr>
      <t>Task Costs</t>
    </r>
    <r>
      <rPr>
        <sz val="10"/>
        <color rgb="FF808080"/>
        <rFont val="Arial"/>
        <family val="2"/>
        <scheme val="minor"/>
      </rPr>
      <t>: Estimated: $0.00 | Baseline: $0.00 | Actual: $0.00</t>
    </r>
  </si>
  <si>
    <t>2</t>
  </si>
  <si>
    <t>Bắt đầu</t>
  </si>
  <si>
    <t>Đánh giá &amp; Khuyến nghị</t>
  </si>
  <si>
    <t>1.1</t>
  </si>
  <si>
    <t>1.2</t>
  </si>
  <si>
    <t>Phát triển các điều lệ dự án</t>
  </si>
  <si>
    <t>Phát triển các trường hợp kinh doanh</t>
  </si>
  <si>
    <t>1.3</t>
  </si>
  <si>
    <t>Gửi Điều lệ Dự án, Gửi trường hợp kinh doanh</t>
  </si>
  <si>
    <t>1.4</t>
  </si>
  <si>
    <t>Nhà tài trợ dự án Đánh giá Điều lệ dự án và trường hợp kinh doanh</t>
  </si>
  <si>
    <t>1.5</t>
  </si>
  <si>
    <t>Điều lệ dự án Đã ký / Phê duyệt</t>
  </si>
  <si>
    <t>1.6</t>
  </si>
  <si>
    <t>Lập kế hoạch</t>
  </si>
  <si>
    <t>Tạo Tuyên bố Phạm vi Sơ bộ</t>
  </si>
  <si>
    <t>2.1</t>
  </si>
  <si>
    <t>Xác định nhóm dự án</t>
  </si>
  <si>
    <t>2.2</t>
  </si>
  <si>
    <t>Họp khởi động nhóm dự án</t>
  </si>
  <si>
    <t>2.3</t>
  </si>
  <si>
    <t>Phát triển kế hoạch dự án</t>
  </si>
  <si>
    <t>2.4</t>
  </si>
  <si>
    <t>2.5</t>
  </si>
  <si>
    <t>Gửi kế hoạch dự án</t>
  </si>
  <si>
    <t>2.6</t>
  </si>
  <si>
    <t>Mốc quan trọng: Phê duyệt kế hoạch dự án</t>
  </si>
  <si>
    <t>2.7</t>
  </si>
  <si>
    <t>thêm vào</t>
  </si>
  <si>
    <t>điều chỉnh priority</t>
  </si>
  <si>
    <t>HH</t>
  </si>
  <si>
    <t>Mon - 18-Apr-22</t>
  </si>
  <si>
    <t>Tue - 19-Apr-22</t>
  </si>
  <si>
    <t>Wed - 20-Apr-22</t>
  </si>
  <si>
    <t>Thu - 21-Apr-22</t>
  </si>
  <si>
    <t>Fri - 22-Apr-22</t>
  </si>
  <si>
    <t>Sat - 23-Apr-22</t>
  </si>
  <si>
    <t>Sun - 24-Apr-22</t>
  </si>
  <si>
    <t>Mon - 25-Apr-22</t>
  </si>
  <si>
    <t>Tue - 26-Apr-22</t>
  </si>
  <si>
    <t>Wed - 27-Apr-22</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</si>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</sst>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8">
    <font>
      <sz val="11"/>
      <color theme="1"/>
      <name val="Arial"/>
      <family val="2"/>
      <scheme val="minor"/>
    </font>
    <font>
      <b/>
      <sz val="15"/>
      <color theme="3"/>
      <name val="Arial"/>
      <family val="2"/>
      <scheme val="minor"/>
    </font>
    <font>
      <u/>
      <sz val="11"/>
      <color theme="10"/>
      <name val="Arial"/>
      <family val="2"/>
      <scheme val="minor"/>
    </font>
    <font>
      <u/>
      <sz val="10"/>
      <color theme="10"/>
      <name val="Arial"/>
      <family val="2"/>
      <scheme val="minor"/>
    </font>
    <font>
      <b/>
      <sz val="24"/>
      <color rgb="FF00B0F0"/>
      <name val="Arial"/>
      <family val="2"/>
      <scheme val="minor"/>
    </font>
    <font>
      <sz val="8"/>
      <color theme="0"/>
      <name val="Arial"/>
      <family val="2"/>
      <scheme val="minor"/>
    </font>
    <font>
      <sz val="10"/>
      <color theme="0"/>
      <name val="Arial"/>
      <family val="2"/>
      <scheme val="minor"/>
    </font>
    <font>
      <sz val="10"/>
      <color theme="1"/>
      <name val="Arial"/>
      <family val="2"/>
      <scheme val="minor"/>
    </font>
    <font>
      <sz val="10"/>
      <color rgb="FFFF0000"/>
      <name val="Arial"/>
      <family val="2"/>
      <scheme val="minor"/>
    </font>
    <font>
      <sz val="10"/>
      <name val="Arial"/>
      <family val="2"/>
      <scheme val="minor"/>
    </font>
    <font>
      <b/>
      <sz val="7"/>
      <color rgb="FF00B0F0"/>
      <name val="Arial"/>
      <family val="2"/>
      <scheme val="minor"/>
    </font>
    <font>
      <b/>
      <sz val="10"/>
      <color theme="1"/>
      <name val="Arial"/>
      <family val="2"/>
      <scheme val="minor"/>
    </font>
    <font>
      <b/>
      <sz val="11"/>
      <color rgb="FF00B0F0"/>
      <name val="Arial"/>
      <family val="2"/>
      <scheme val="minor"/>
    </font>
    <font>
      <u/>
      <sz val="11"/>
      <color theme="11"/>
      <name val="Arial"/>
      <family val="2"/>
      <scheme val="minor"/>
    </font>
    <font>
      <i/>
      <sz val="11"/>
      <color theme="1"/>
      <name val="Arial"/>
      <family val="2"/>
      <scheme val="minor"/>
    </font>
    <font>
      <b/>
      <sz val="10"/>
      <color theme="4" tint="-0.499984740745262"/>
      <name val="Arial"/>
      <family val="2"/>
      <scheme val="minor"/>
    </font>
    <font>
      <b/>
      <sz val="14"/>
      <color rgb="FFFF0000"/>
      <name val="Arial"/>
      <family val="2"/>
      <scheme val="minor"/>
    </font>
    <font>
      <sz val="9"/>
      <color theme="1"/>
      <name val="Arial"/>
      <family val="2"/>
      <scheme val="minor"/>
    </font>
    <font>
      <sz val="11"/>
      <color rgb="FFFF0000"/>
      <name val="Arial"/>
      <family val="2"/>
      <scheme val="minor"/>
    </font>
    <font>
      <sz val="11"/>
      <color rgb="FF000000"/>
      <name val="Calibri"/>
      <family val="2"/>
    </font>
    <font>
      <sz val="26"/>
      <color rgb="FF00B0F0"/>
      <name val="Arial"/>
      <family val="2"/>
      <scheme val="minor"/>
    </font>
    <font>
      <sz val="28"/>
      <color theme="1"/>
      <name val="Arial"/>
      <family val="2"/>
      <scheme val="minor"/>
    </font>
    <font>
      <sz val="28"/>
      <color rgb="FFFF0000"/>
      <name val="Arial"/>
      <family val="2"/>
      <scheme val="minor"/>
    </font>
    <font>
      <sz val="28"/>
      <color theme="9" tint="-0.249977111117893"/>
      <name val="Arial"/>
      <family val="2"/>
      <scheme val="minor"/>
    </font>
    <font>
      <sz val="8"/>
      <name val="Arial"/>
      <family val="2"/>
      <scheme val="minor"/>
    </font>
    <font>
      <b/>
      <sz val="12"/>
      <color rgb="FF00B0F0"/>
      <name val="Arial"/>
      <family val="2"/>
      <scheme val="minor"/>
    </font>
    <font>
      <sz val="11"/>
      <color theme="1"/>
      <name val="Arial"/>
      <family val="2"/>
      <scheme val="minor"/>
    </font>
    <font>
      <sz val="11"/>
      <color theme="8"/>
      <name val="Arial"/>
      <family val="2"/>
      <scheme val="minor"/>
    </font>
    <font>
      <sz val="11"/>
      <color theme="0"/>
      <name val="Arial"/>
      <family val="2"/>
      <scheme val="minor"/>
    </font>
    <font>
      <sz val="9"/>
      <color theme="1"/>
      <name val="Verdana"/>
      <family val="2"/>
    </font>
    <font>
      <sz val="10"/>
      <name val="Arial"/>
      <family val="2"/>
    </font>
    <font>
      <sz val="11"/>
      <color rgb="FF000000"/>
      <name val="Arial"/>
      <family val="2"/>
      <scheme val="minor"/>
    </font>
    <font>
      <sz val="10"/>
      <color rgb="FF000000"/>
      <name val="Arial"/>
      <family val="2"/>
      <scheme val="minor"/>
    </font>
    <font>
      <b/>
      <sz val="9"/>
      <color rgb="FF000000"/>
      <name val="Arial"/>
      <family val="2"/>
      <scheme val="minor"/>
    </font>
    <font>
      <sz val="10"/>
      <color rgb="FF808080"/>
      <name val="Arial"/>
      <family val="2"/>
      <scheme val="minor"/>
    </font>
    <font>
      <sz val="11"/>
      <color rgb="FF4472C4"/>
      <name val="Arial"/>
      <family val="2"/>
      <scheme val="minor"/>
    </font>
    <font>
      <sz val="8"/>
      <color rgb="FF000000"/>
      <name val="Arial"/>
      <family val="2"/>
      <scheme val="minor"/>
    </font>
    <font>
      <sz val="8"/>
      <color rgb="FF000000"/>
      <name val="Arial"/>
      <family val="2"/>
    </font>
    <font>
      <b/>
      <sz val="10"/>
      <color rgb="FFFFFFFF"/>
      <name val="Arial"/>
      <family val="2"/>
      <scheme val="minor"/>
    </font>
    <font>
      <b/>
      <sz val="16"/>
      <color rgb="FFFFFFFF"/>
      <name val="Arial"/>
      <family val="2"/>
      <scheme val="minor"/>
    </font>
    <font>
      <b/>
      <sz val="10"/>
      <color rgb="FF808080"/>
      <name val="Arial"/>
      <family val="2"/>
      <scheme val="minor"/>
    </font>
    <font>
      <sz val="10"/>
      <color rgb="FF6DD9FF"/>
      <name val="Wingdings 3"/>
      <family val="1"/>
      <charset val="2"/>
    </font>
    <font>
      <i/>
      <sz val="12"/>
      <color rgb="FF000000"/>
      <name val="Times New Roman"/>
      <family val="1"/>
    </font>
    <font>
      <sz val="10"/>
      <color rgb="FF000000"/>
      <name val="Times New Roman"/>
      <family val="1"/>
    </font>
    <font>
      <b/>
      <sz val="10"/>
      <color rgb="FF000000"/>
      <name val="Arial"/>
      <family val="2"/>
      <scheme val="minor"/>
    </font>
    <font>
      <b/>
      <sz val="8"/>
      <color rgb="FF000000"/>
      <name val="Arial"/>
      <family val="2"/>
      <scheme val="minor"/>
    </font>
    <font>
      <b/>
      <sz val="10"/>
      <color rgb="FF000000"/>
      <name val="Times New Roman"/>
      <family val="1"/>
    </font>
    <font>
      <sz val="10"/>
      <color rgb="FFA8E7FE"/>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26">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FF0000"/>
      </top>
      <bottom style="thin">
        <color rgb="FFFF0000"/>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right style="thin">
        <color rgb="FFCCFFFF"/>
      </right>
      <top/>
      <bottom/>
      <diagonal/>
    </border>
    <border>
      <left style="thin">
        <color rgb="FFCCFFFF"/>
      </left>
      <right style="thin">
        <color rgb="FFCCFFFF"/>
      </right>
      <top/>
      <bottom/>
      <diagonal/>
    </border>
    <border>
      <left/>
      <right/>
      <top/>
      <bottom style="thin">
        <color rgb="FFFF0000"/>
      </bottom>
      <diagonal/>
    </border>
    <border>
      <left/>
      <right style="thin">
        <color rgb="FFCCFFFF"/>
      </right>
      <top/>
      <bottom style="thin">
        <color rgb="FFFF0000"/>
      </bottom>
      <diagonal/>
    </border>
    <border>
      <left style="thin">
        <color rgb="FFCCFFFF"/>
      </left>
      <right style="thin">
        <color rgb="FFCCFFFF"/>
      </right>
      <top/>
      <bottom style="thin">
        <color rgb="FFFF0000"/>
      </bottom>
      <diagonal/>
    </border>
    <border>
      <left/>
      <right style="thin">
        <color rgb="FFCCFFFF"/>
      </right>
      <top style="thin">
        <color rgb="FFFF0000"/>
      </top>
      <bottom style="thin">
        <color rgb="FFCCFFFF"/>
      </bottom>
      <diagonal/>
    </border>
    <border>
      <left/>
      <right/>
      <top style="thin">
        <color rgb="FFFF0000"/>
      </top>
      <bottom style="thin">
        <color rgb="FFCCFFFF"/>
      </bottom>
      <diagonal/>
    </border>
    <border>
      <left style="thin">
        <color rgb="FFCCFFFF"/>
      </left>
      <right style="thin">
        <color rgb="FFCCFFFF"/>
      </right>
      <top style="thin">
        <color rgb="FFFF0000"/>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306">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28" borderId="0" xfId="0" applyFont="1" applyFill="1" applyAlignment="1">
      <alignment horizontal="left" vertical="center"/>
    </xf>
    <xf numFmtId="0" fontId="37" fillId="6" borderId="0" xfId="0" applyFont="1" applyFill="1" applyAlignment="1">
      <alignment horizontal="left" vertical="center"/>
    </xf>
    <xf numFmtId="0" fontId="0" fillId="0" borderId="5"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49" fontId="32" fillId="0" borderId="12"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8" fillId="45" borderId="12" xfId="0" applyFont="1" applyFill="1" applyBorder="1" applyAlignment="1">
      <alignment horizontal="center" vertical="center"/>
    </xf>
    <xf numFmtId="0" fontId="36" fillId="0" borderId="12" xfId="0" applyFont="1" applyFill="1" applyBorder="1" applyAlignment="1">
      <alignment horizontal="center"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1" fillId="0" borderId="0" xfId="0" applyFont="1" applyBorder="1"/>
    <xf numFmtId="0" fontId="32" fillId="7" borderId="12" xfId="0" applyFont="1" applyFill="1" applyBorder="1" applyAlignment="1">
      <alignment horizontal="left" vertical="center"/>
    </xf>
    <xf numFmtId="0" fontId="0" fillId="0" borderId="14" xfId="0" applyFill="1" applyBorder="1"/>
    <xf numFmtId="0" fontId="41" fillId="0" borderId="12" xfId="0" applyFont="1" applyBorder="1" applyAlignment="1">
      <alignment horizontal="center" vertical="center"/>
    </xf>
    <xf numFmtId="0" fontId="32" fillId="0" borderId="12" xfId="0" applyNumberFormat="1" applyFont="1" applyFill="1" applyBorder="1" applyAlignment="1">
      <alignment horizontal="right" vertical="center"/>
    </xf>
    <xf numFmtId="0" fontId="31" fillId="0" borderId="0" xfId="0" applyFont="1"/>
    <xf numFmtId="0" fontId="43" fillId="0" borderId="12" xfId="0" applyNumberFormat="1" applyFont="1" applyFill="1" applyBorder="1" applyAlignment="1">
      <alignment horizontal="left" vertical="center" indent="1"/>
    </xf>
    <xf numFmtId="0" fontId="32" fillId="7" borderId="9" xfId="0" applyFont="1" applyFill="1" applyBorder="1" applyAlignment="1">
      <alignment horizontal="left" vertical="center"/>
    </xf>
    <xf numFmtId="0" fontId="41" fillId="0" borderId="9" xfId="0" applyFont="1" applyBorder="1" applyAlignment="1">
      <alignment horizontal="center" vertical="center"/>
    </xf>
    <xf numFmtId="49" fontId="32" fillId="0" borderId="9" xfId="0" applyNumberFormat="1" applyFont="1" applyFill="1" applyBorder="1" applyAlignment="1">
      <alignment horizontal="left" vertical="center"/>
    </xf>
    <xf numFmtId="0" fontId="43" fillId="0" borderId="9" xfId="0" applyNumberFormat="1" applyFont="1" applyFill="1" applyBorder="1" applyAlignment="1">
      <alignment horizontal="left" vertical="center" indent="1"/>
    </xf>
    <xf numFmtId="0" fontId="38" fillId="45" borderId="9" xfId="0" applyFont="1" applyFill="1" applyBorder="1" applyAlignment="1">
      <alignment horizontal="center" vertical="center"/>
    </xf>
    <xf numFmtId="0" fontId="36" fillId="0" borderId="9" xfId="0" applyFont="1" applyFill="1" applyBorder="1" applyAlignment="1">
      <alignment horizontal="center" vertical="center"/>
    </xf>
    <xf numFmtId="0" fontId="32" fillId="0" borderId="9" xfId="0" applyFont="1" applyFill="1" applyBorder="1" applyAlignment="1">
      <alignment horizontal="left" vertical="center"/>
    </xf>
    <xf numFmtId="166" fontId="32" fillId="0" borderId="9" xfId="0" applyNumberFormat="1" applyFont="1" applyFill="1" applyBorder="1" applyAlignment="1">
      <alignment horizontal="right" vertical="center"/>
    </xf>
    <xf numFmtId="165" fontId="32" fillId="0" borderId="9" xfId="0" applyNumberFormat="1" applyFont="1" applyFill="1" applyBorder="1" applyAlignment="1">
      <alignment horizontal="right" vertical="center"/>
    </xf>
    <xf numFmtId="0" fontId="32" fillId="0" borderId="9" xfId="0" applyFont="1" applyFill="1" applyBorder="1" applyAlignment="1">
      <alignment horizontal="right" vertical="center"/>
    </xf>
    <xf numFmtId="0" fontId="32" fillId="0" borderId="9" xfId="0" applyNumberFormat="1" applyFont="1" applyFill="1" applyBorder="1" applyAlignment="1">
      <alignment horizontal="right" vertical="center"/>
    </xf>
    <xf numFmtId="0" fontId="32" fillId="0" borderId="9" xfId="0" applyFont="1" applyFill="1" applyBorder="1" applyAlignment="1">
      <alignment horizontal="center" vertical="center"/>
    </xf>
    <xf numFmtId="9" fontId="32" fillId="0" borderId="9" xfId="0" applyNumberFormat="1" applyFont="1" applyFill="1" applyBorder="1" applyAlignment="1">
      <alignment horizontal="center" vertical="center"/>
    </xf>
    <xf numFmtId="0" fontId="32" fillId="0" borderId="9" xfId="0" applyNumberFormat="1" applyFont="1" applyFill="1" applyBorder="1" applyAlignment="1">
      <alignment horizontal="left" vertical="center"/>
    </xf>
    <xf numFmtId="0" fontId="32" fillId="0" borderId="10" xfId="0" applyFont="1" applyFill="1" applyBorder="1" applyAlignment="1">
      <alignment horizontal="left" vertical="center"/>
    </xf>
    <xf numFmtId="0" fontId="0" fillId="0" borderId="11" xfId="0" applyFill="1" applyBorder="1"/>
    <xf numFmtId="0" fontId="38" fillId="45" borderId="15" xfId="0" applyFont="1" applyFill="1" applyBorder="1" applyAlignment="1">
      <alignment horizontal="center" vertical="center"/>
    </xf>
    <xf numFmtId="0" fontId="32" fillId="0" borderId="15" xfId="0" applyFont="1" applyFill="1" applyBorder="1" applyAlignment="1">
      <alignment horizontal="center" vertical="center"/>
    </xf>
    <xf numFmtId="0" fontId="32" fillId="0" borderId="15" xfId="0" applyFont="1" applyFill="1" applyBorder="1" applyAlignment="1">
      <alignment horizontal="left" vertical="center"/>
    </xf>
    <xf numFmtId="0" fontId="32" fillId="0" borderId="16" xfId="0" applyFont="1" applyFill="1" applyBorder="1" applyAlignment="1">
      <alignment horizontal="left" vertical="center"/>
    </xf>
    <xf numFmtId="0" fontId="0" fillId="0" borderId="17" xfId="0" applyFill="1" applyBorder="1"/>
    <xf numFmtId="0" fontId="32" fillId="0" borderId="6" xfId="0" applyFont="1" applyBorder="1" applyAlignment="1">
      <alignment horizontal="center" vertical="center"/>
    </xf>
    <xf numFmtId="49" fontId="32" fillId="0" borderId="6" xfId="0" applyNumberFormat="1" applyFont="1" applyBorder="1" applyAlignment="1">
      <alignment horizontal="left" vertical="center"/>
    </xf>
    <xf numFmtId="0" fontId="42" fillId="0" borderId="6" xfId="0" applyNumberFormat="1" applyFont="1" applyBorder="1" applyAlignment="1">
      <alignment horizontal="left" vertical="center"/>
    </xf>
    <xf numFmtId="0" fontId="33" fillId="0" borderId="6" xfId="0" applyFont="1" applyBorder="1" applyAlignment="1">
      <alignment horizontal="center" vertical="center"/>
    </xf>
    <xf numFmtId="0" fontId="32" fillId="0" borderId="6" xfId="0" applyFont="1" applyBorder="1" applyAlignment="1">
      <alignment horizontal="left" vertical="center"/>
    </xf>
    <xf numFmtId="0" fontId="32" fillId="0" borderId="6" xfId="0"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NumberFormat="1" applyFont="1" applyBorder="1" applyAlignment="1">
      <alignment horizontal="right"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center" vertical="center"/>
    </xf>
    <xf numFmtId="0" fontId="0" fillId="0" borderId="6" xfId="0" applyBorder="1"/>
    <xf numFmtId="0" fontId="0" fillId="43" borderId="14" xfId="0" applyFill="1" applyBorder="1"/>
    <xf numFmtId="0" fontId="37" fillId="6" borderId="0" xfId="0" quotePrefix="1" applyFont="1" applyFill="1" applyAlignment="1">
      <alignment horizontal="left" vertical="center"/>
    </xf>
    <xf numFmtId="0" fontId="37" fillId="28" borderId="0" xfId="0" quotePrefix="1" applyFont="1" applyFill="1" applyAlignment="1">
      <alignment horizontal="left" vertical="center"/>
    </xf>
    <xf numFmtId="0" fontId="37" fillId="43" borderId="0" xfId="0" quotePrefix="1" applyFont="1" applyFill="1" applyAlignment="1">
      <alignment horizontal="left" vertical="center"/>
    </xf>
    <xf numFmtId="0" fontId="37" fillId="43" borderId="0" xfId="0" applyFont="1" applyFill="1" applyAlignment="1">
      <alignment horizontal="left" vertical="center"/>
    </xf>
    <xf numFmtId="0" fontId="32" fillId="7" borderId="20" xfId="0" applyFont="1" applyFill="1" applyBorder="1" applyAlignment="1">
      <alignment horizontal="left" vertical="center"/>
    </xf>
    <xf numFmtId="0" fontId="41" fillId="0" borderId="20" xfId="0" applyFont="1" applyBorder="1" applyAlignment="1">
      <alignment horizontal="center" vertical="center"/>
    </xf>
    <xf numFmtId="49" fontId="32" fillId="0" borderId="20" xfId="0" applyNumberFormat="1" applyFont="1" applyFill="1" applyBorder="1" applyAlignment="1">
      <alignment horizontal="left" vertical="center"/>
    </xf>
    <xf numFmtId="0" fontId="43" fillId="0" borderId="20" xfId="0" applyNumberFormat="1" applyFont="1" applyFill="1" applyBorder="1" applyAlignment="1">
      <alignment horizontal="left" vertical="center" indent="1"/>
    </xf>
    <xf numFmtId="0" fontId="38" fillId="45" borderId="20" xfId="0" applyFont="1" applyFill="1" applyBorder="1" applyAlignment="1">
      <alignment horizontal="center" vertical="center"/>
    </xf>
    <xf numFmtId="0" fontId="36" fillId="0" borderId="20" xfId="0" applyFont="1" applyFill="1" applyBorder="1" applyAlignment="1">
      <alignment horizontal="center" vertical="center"/>
    </xf>
    <xf numFmtId="0" fontId="32" fillId="0" borderId="20" xfId="0" applyFont="1" applyFill="1" applyBorder="1" applyAlignment="1">
      <alignment horizontal="left" vertical="center"/>
    </xf>
    <xf numFmtId="166" fontId="32" fillId="0" borderId="20" xfId="0" applyNumberFormat="1" applyFont="1" applyFill="1" applyBorder="1" applyAlignment="1">
      <alignment horizontal="right" vertical="center"/>
    </xf>
    <xf numFmtId="165" fontId="32" fillId="0" borderId="20" xfId="0" applyNumberFormat="1" applyFont="1" applyFill="1" applyBorder="1" applyAlignment="1">
      <alignment horizontal="right" vertical="center"/>
    </xf>
    <xf numFmtId="0" fontId="32" fillId="0" borderId="20" xfId="0" applyFont="1" applyFill="1" applyBorder="1" applyAlignment="1">
      <alignment horizontal="right" vertical="center"/>
    </xf>
    <xf numFmtId="0" fontId="32" fillId="0" borderId="20" xfId="0" applyNumberFormat="1" applyFont="1" applyFill="1" applyBorder="1" applyAlignment="1">
      <alignment horizontal="right" vertical="center"/>
    </xf>
    <xf numFmtId="0" fontId="32" fillId="0" borderId="20" xfId="0" applyFont="1" applyFill="1" applyBorder="1" applyAlignment="1">
      <alignment horizontal="center" vertical="center"/>
    </xf>
    <xf numFmtId="9" fontId="32" fillId="0" borderId="20" xfId="0" applyNumberFormat="1" applyFont="1" applyFill="1" applyBorder="1" applyAlignment="1">
      <alignment horizontal="center" vertical="center"/>
    </xf>
    <xf numFmtId="0" fontId="32" fillId="0" borderId="20" xfId="0" applyNumberFormat="1" applyFont="1" applyFill="1" applyBorder="1" applyAlignment="1">
      <alignment horizontal="left" vertical="center"/>
    </xf>
    <xf numFmtId="0" fontId="32" fillId="0" borderId="21" xfId="0" applyFont="1" applyFill="1" applyBorder="1" applyAlignment="1">
      <alignment horizontal="left" vertical="center"/>
    </xf>
    <xf numFmtId="0" fontId="0" fillId="0" borderId="22" xfId="0" applyFill="1" applyBorder="1"/>
    <xf numFmtId="49" fontId="44" fillId="0" borderId="9" xfId="0" applyNumberFormat="1" applyFont="1" applyFill="1" applyBorder="1" applyAlignment="1">
      <alignment horizontal="left" vertical="center"/>
    </xf>
    <xf numFmtId="0" fontId="46" fillId="0" borderId="9" xfId="0" applyNumberFormat="1" applyFont="1" applyFill="1" applyBorder="1" applyAlignment="1">
      <alignment horizontal="left" vertical="center"/>
    </xf>
    <xf numFmtId="0" fontId="45" fillId="0" borderId="9" xfId="0" applyFont="1" applyFill="1" applyBorder="1" applyAlignment="1">
      <alignment horizontal="center" vertical="center"/>
    </xf>
    <xf numFmtId="0" fontId="44" fillId="0" borderId="9" xfId="0" applyFont="1" applyFill="1" applyBorder="1" applyAlignment="1">
      <alignment horizontal="left" vertical="center"/>
    </xf>
    <xf numFmtId="166" fontId="44" fillId="0" borderId="9" xfId="0" applyNumberFormat="1" applyFont="1" applyFill="1" applyBorder="1" applyAlignment="1">
      <alignment horizontal="right" vertical="center"/>
    </xf>
    <xf numFmtId="165" fontId="44" fillId="0" borderId="9" xfId="0" applyNumberFormat="1" applyFont="1" applyFill="1" applyBorder="1" applyAlignment="1">
      <alignment horizontal="right" vertical="center"/>
    </xf>
    <xf numFmtId="0" fontId="44" fillId="0" borderId="9" xfId="0" applyFont="1" applyFill="1" applyBorder="1" applyAlignment="1">
      <alignment horizontal="right" vertical="center"/>
    </xf>
    <xf numFmtId="0" fontId="44" fillId="0" borderId="9" xfId="0" applyNumberFormat="1" applyFont="1" applyFill="1" applyBorder="1" applyAlignment="1">
      <alignment horizontal="right" vertical="center"/>
    </xf>
    <xf numFmtId="9" fontId="44" fillId="0" borderId="9" xfId="0" applyNumberFormat="1" applyFont="1" applyFill="1" applyBorder="1" applyAlignment="1">
      <alignment horizontal="center" vertical="center"/>
    </xf>
    <xf numFmtId="0" fontId="44" fillId="0" borderId="9" xfId="0" applyNumberFormat="1" applyFont="1" applyFill="1" applyBorder="1" applyAlignment="1">
      <alignment horizontal="left" vertical="center"/>
    </xf>
    <xf numFmtId="0" fontId="32" fillId="28" borderId="6" xfId="0" applyFont="1" applyFill="1" applyBorder="1" applyAlignment="1">
      <alignment horizontal="center" vertical="center"/>
    </xf>
    <xf numFmtId="49" fontId="32" fillId="28" borderId="6" xfId="0" applyNumberFormat="1"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7" xfId="0" applyFont="1" applyFill="1" applyBorder="1" applyAlignment="1">
      <alignment horizontal="center" vertical="center"/>
    </xf>
    <xf numFmtId="49" fontId="37" fillId="28" borderId="8" xfId="0" applyNumberFormat="1" applyFont="1" applyFill="1" applyBorder="1" applyAlignment="1">
      <alignment horizontal="center" vertical="center"/>
    </xf>
    <xf numFmtId="49" fontId="40" fillId="0" borderId="0" xfId="0" applyNumberFormat="1" applyFont="1" applyBorder="1" applyAlignment="1">
      <alignment horizontal="left" vertical="center"/>
    </xf>
    <xf numFmtId="0" fontId="32" fillId="0" borderId="18" xfId="0" applyFont="1" applyBorder="1" applyAlignment="1">
      <alignment horizontal="center" vertical="center"/>
    </xf>
    <xf numFmtId="0" fontId="37" fillId="31" borderId="19" xfId="0" applyFont="1" applyFill="1" applyBorder="1" applyAlignment="1">
      <alignment horizontal="center" vertical="center"/>
    </xf>
    <xf numFmtId="0" fontId="32" fillId="38" borderId="9" xfId="0" applyFont="1" applyFill="1" applyBorder="1" applyAlignment="1">
      <alignment horizontal="left" vertical="center"/>
    </xf>
    <xf numFmtId="0" fontId="47" fillId="0" borderId="9" xfId="0" applyFont="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38" fillId="45" borderId="24" xfId="0" applyFont="1" applyFill="1" applyBorder="1" applyAlignment="1">
      <alignment horizontal="center" vertical="center"/>
    </xf>
    <xf numFmtId="0" fontId="32" fillId="0" borderId="24" xfId="0" applyFont="1" applyFill="1" applyBorder="1" applyAlignment="1">
      <alignment horizontal="left" vertical="center"/>
    </xf>
    <xf numFmtId="0" fontId="32" fillId="0" borderId="24" xfId="0" applyFont="1" applyFill="1" applyBorder="1" applyAlignment="1">
      <alignment horizontal="center" vertical="center"/>
    </xf>
    <xf numFmtId="0" fontId="32" fillId="0" borderId="23" xfId="0" applyFont="1" applyFill="1" applyBorder="1" applyAlignment="1">
      <alignment horizontal="left" vertical="center"/>
    </xf>
    <xf numFmtId="0" fontId="0" fillId="0" borderId="25" xfId="0" applyFill="1" applyBorder="1"/>
    <xf numFmtId="0" fontId="32" fillId="7" borderId="15" xfId="0" applyFont="1" applyFill="1" applyBorder="1" applyAlignment="1">
      <alignment horizontal="left" vertical="center"/>
    </xf>
    <xf numFmtId="0" fontId="41" fillId="0" borderId="15" xfId="0" applyFont="1" applyBorder="1" applyAlignment="1">
      <alignment horizontal="center" vertical="center"/>
    </xf>
    <xf numFmtId="49" fontId="32" fillId="0" borderId="15" xfId="0" applyNumberFormat="1" applyFont="1" applyFill="1" applyBorder="1" applyAlignment="1">
      <alignment horizontal="left" vertical="center"/>
    </xf>
    <xf numFmtId="0" fontId="43" fillId="0" borderId="15" xfId="0" applyNumberFormat="1" applyFont="1" applyFill="1" applyBorder="1" applyAlignment="1">
      <alignment horizontal="left" vertical="center" indent="1"/>
    </xf>
    <xf numFmtId="0" fontId="36" fillId="0" borderId="15" xfId="0" applyFont="1" applyFill="1" applyBorder="1" applyAlignment="1">
      <alignment horizontal="center" vertical="center"/>
    </xf>
    <xf numFmtId="166" fontId="32" fillId="0" borderId="15" xfId="0" applyNumberFormat="1" applyFont="1" applyFill="1" applyBorder="1" applyAlignment="1">
      <alignment horizontal="right" vertical="center"/>
    </xf>
    <xf numFmtId="165" fontId="32" fillId="0" borderId="15" xfId="0" applyNumberFormat="1" applyFont="1" applyFill="1" applyBorder="1" applyAlignment="1">
      <alignment horizontal="right" vertical="center"/>
    </xf>
    <xf numFmtId="0" fontId="32" fillId="0" borderId="15" xfId="0" applyFont="1" applyFill="1" applyBorder="1" applyAlignment="1">
      <alignment horizontal="right" vertical="center"/>
    </xf>
    <xf numFmtId="0" fontId="32" fillId="0" borderId="15" xfId="0" applyNumberFormat="1" applyFont="1" applyFill="1" applyBorder="1" applyAlignment="1">
      <alignment horizontal="right" vertical="center"/>
    </xf>
    <xf numFmtId="9" fontId="32" fillId="0" borderId="15" xfId="0" applyNumberFormat="1" applyFont="1" applyFill="1" applyBorder="1" applyAlignment="1">
      <alignment horizontal="center" vertical="center"/>
    </xf>
    <xf numFmtId="0" fontId="32" fillId="0" borderId="15" xfId="0" applyNumberFormat="1" applyFont="1" applyFill="1" applyBorder="1" applyAlignment="1">
      <alignment horizontal="left" vertical="center"/>
    </xf>
    <xf numFmtId="0" fontId="32" fillId="38" borderId="24" xfId="0" applyFont="1" applyFill="1" applyBorder="1" applyAlignment="1">
      <alignment horizontal="left" vertical="center"/>
    </xf>
    <xf numFmtId="0" fontId="47" fillId="0" borderId="24" xfId="0" applyFont="1" applyFill="1" applyBorder="1" applyAlignment="1">
      <alignment horizontal="center" vertical="center"/>
    </xf>
    <xf numFmtId="49" fontId="44" fillId="0" borderId="24" xfId="0" applyNumberFormat="1" applyFont="1" applyFill="1" applyBorder="1" applyAlignment="1">
      <alignment horizontal="left" vertical="center"/>
    </xf>
    <xf numFmtId="0" fontId="44" fillId="0" borderId="24" xfId="0" applyFont="1" applyFill="1" applyBorder="1" applyAlignment="1">
      <alignment horizontal="left" vertical="center"/>
    </xf>
    <xf numFmtId="0" fontId="45" fillId="0" borderId="24" xfId="0" applyFont="1" applyFill="1" applyBorder="1" applyAlignment="1">
      <alignment horizontal="center" vertical="center"/>
    </xf>
    <xf numFmtId="166" fontId="44" fillId="0" borderId="24" xfId="0" applyNumberFormat="1" applyFont="1" applyFill="1" applyBorder="1" applyAlignment="1">
      <alignment horizontal="right" vertical="center"/>
    </xf>
    <xf numFmtId="165" fontId="44" fillId="0" borderId="24" xfId="0" applyNumberFormat="1" applyFont="1" applyFill="1" applyBorder="1" applyAlignment="1">
      <alignment horizontal="right" vertical="center"/>
    </xf>
    <xf numFmtId="0" fontId="44" fillId="0" borderId="24" xfId="0" applyFont="1" applyFill="1" applyBorder="1" applyAlignment="1">
      <alignment horizontal="right" vertical="center"/>
    </xf>
    <xf numFmtId="9" fontId="44" fillId="0" borderId="24" xfId="0" applyNumberFormat="1" applyFont="1" applyFill="1" applyBorder="1" applyAlignment="1">
      <alignment horizontal="center" vertical="center"/>
    </xf>
    <xf numFmtId="0" fontId="44" fillId="0" borderId="24" xfId="0" applyNumberFormat="1" applyFont="1" applyFill="1" applyBorder="1" applyAlignment="1">
      <alignment horizontal="left" vertical="center"/>
    </xf>
    <xf numFmtId="0" fontId="32" fillId="7" borderId="0" xfId="0" applyFont="1" applyFill="1" applyBorder="1" applyAlignment="1">
      <alignment horizontal="left" vertical="center"/>
    </xf>
    <xf numFmtId="0" fontId="41" fillId="0" borderId="0" xfId="0" applyFont="1" applyBorder="1" applyAlignment="1">
      <alignment horizontal="center" vertical="center"/>
    </xf>
    <xf numFmtId="49" fontId="32" fillId="0" borderId="0" xfId="0" applyNumberFormat="1" applyFont="1" applyFill="1" applyBorder="1" applyAlignment="1">
      <alignment horizontal="left" vertical="center"/>
    </xf>
    <xf numFmtId="0" fontId="43" fillId="0" borderId="0" xfId="0" applyNumberFormat="1" applyFont="1" applyFill="1" applyBorder="1" applyAlignment="1">
      <alignment horizontal="left" vertical="center" indent="1"/>
    </xf>
    <xf numFmtId="0" fontId="38" fillId="45" borderId="0" xfId="0" applyFont="1" applyFill="1" applyBorder="1" applyAlignment="1">
      <alignment horizontal="center" vertical="center"/>
    </xf>
    <xf numFmtId="0" fontId="36" fillId="0" borderId="0" xfId="0" applyFont="1" applyFill="1" applyBorder="1" applyAlignment="1">
      <alignment horizontal="center" vertical="center"/>
    </xf>
    <xf numFmtId="0" fontId="32" fillId="0" borderId="0" xfId="0" applyFont="1" applyFill="1" applyBorder="1" applyAlignment="1">
      <alignment horizontal="left" vertical="center"/>
    </xf>
    <xf numFmtId="166" fontId="32" fillId="0" borderId="0" xfId="0" applyNumberFormat="1" applyFont="1" applyFill="1" applyBorder="1" applyAlignment="1">
      <alignment horizontal="right" vertical="center"/>
    </xf>
    <xf numFmtId="165" fontId="32" fillId="0" borderId="0" xfId="0" applyNumberFormat="1" applyFont="1" applyFill="1" applyBorder="1" applyAlignment="1">
      <alignment horizontal="right" vertical="center"/>
    </xf>
    <xf numFmtId="0" fontId="32" fillId="0" borderId="0" xfId="0" applyFont="1" applyFill="1" applyBorder="1" applyAlignment="1">
      <alignment horizontal="right" vertical="center"/>
    </xf>
    <xf numFmtId="0" fontId="32" fillId="0" borderId="0" xfId="0" applyNumberFormat="1" applyFont="1" applyFill="1" applyBorder="1" applyAlignment="1">
      <alignment horizontal="right" vertical="center"/>
    </xf>
    <xf numFmtId="0" fontId="32" fillId="0" borderId="0" xfId="0" applyFont="1" applyFill="1" applyBorder="1" applyAlignment="1">
      <alignment horizontal="center" vertical="center"/>
    </xf>
    <xf numFmtId="9" fontId="32" fillId="0" borderId="0" xfId="0" applyNumberFormat="1" applyFont="1" applyFill="1" applyBorder="1" applyAlignment="1">
      <alignment horizontal="center" vertical="center"/>
    </xf>
    <xf numFmtId="0" fontId="32" fillId="0" borderId="0" xfId="0" applyNumberFormat="1" applyFont="1" applyFill="1" applyBorder="1" applyAlignment="1">
      <alignment horizontal="left" vertical="center"/>
    </xf>
    <xf numFmtId="0" fontId="32" fillId="0" borderId="18" xfId="0" applyFont="1" applyFill="1" applyBorder="1" applyAlignment="1">
      <alignment horizontal="left" vertical="center"/>
    </xf>
    <xf numFmtId="0" fontId="0" fillId="0" borderId="19" xfId="0" applyFill="1" applyBorder="1"/>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4"/>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vi-VN"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65</xdr:col>
      <xdr:colOff>0</xdr:colOff>
      <xdr:row>9</xdr:row>
      <xdr:rowOff>38100</xdr:rowOff>
    </xdr:from>
    <xdr:to>
      <xdr:col>162</xdr:col>
      <xdr:colOff>259079</xdr:colOff>
      <xdr:row>9</xdr:row>
      <xdr:rowOff>175260</xdr:rowOff>
    </xdr:to>
    <xdr:sp macro="" textlink="">
      <xdr:nvSpPr>
        <xdr:cNvPr id="2271" name="S_TE_4">
          <a:extLst>
            <a:ext uri="{FF2B5EF4-FFF2-40B4-BE49-F238E27FC236}">
              <a16:creationId xmlns:a16="http://schemas.microsoft.com/office/drawing/2014/main" id="{00000000-0008-0000-0400-0000DF080000}"/>
            </a:ext>
          </a:extLst>
        </xdr:cNvPr>
        <xdr:cNvSpPr/>
      </xdr:nvSpPr>
      <xdr:spPr>
        <a:xfrm>
          <a:off x="12954000" y="1013460"/>
          <a:ext cx="25389839" cy="137160"/>
        </a:xfrm>
        <a:prstGeom prst="leftRightArrow">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3" name="S_TH_2">
          <a:extLst>
            <a:ext uri="{FF2B5EF4-FFF2-40B4-BE49-F238E27FC236}">
              <a16:creationId xmlns:a16="http://schemas.microsoft.com/office/drawing/2014/main" id="{00000000-0008-0000-0400-0000E1080000}"/>
            </a:ext>
          </a:extLst>
        </xdr:cNvPr>
        <xdr:cNvSpPr/>
      </xdr:nvSpPr>
      <xdr:spPr>
        <a:xfrm>
          <a:off x="12954000" y="1242060"/>
          <a:ext cx="129540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5" name="S_TE_E2">
          <a:extLst>
            <a:ext uri="{FF2B5EF4-FFF2-40B4-BE49-F238E27FC236}">
              <a16:creationId xmlns:a16="http://schemas.microsoft.com/office/drawing/2014/main" id="{00000000-0008-0000-0400-0000E3080000}"/>
            </a:ext>
          </a:extLst>
        </xdr:cNvPr>
        <xdr:cNvSpPr/>
      </xdr:nvSpPr>
      <xdr:spPr>
        <a:xfrm>
          <a:off x="12954000" y="12420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117</xdr:col>
      <xdr:colOff>259079</xdr:colOff>
      <xdr:row>11</xdr:row>
      <xdr:rowOff>175260</xdr:rowOff>
    </xdr:to>
    <xdr:sp macro="" textlink="">
      <xdr:nvSpPr>
        <xdr:cNvPr id="2312" name="S_TH_3">
          <a:extLst>
            <a:ext uri="{FF2B5EF4-FFF2-40B4-BE49-F238E27FC236}">
              <a16:creationId xmlns:a16="http://schemas.microsoft.com/office/drawing/2014/main" id="{00000000-0008-0000-0400-000008090000}"/>
            </a:ext>
          </a:extLst>
        </xdr:cNvPr>
        <xdr:cNvSpPr/>
      </xdr:nvSpPr>
      <xdr:spPr>
        <a:xfrm>
          <a:off x="14249400" y="14706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4" name="S_TE_E3i1">
          <a:extLst>
            <a:ext uri="{FF2B5EF4-FFF2-40B4-BE49-F238E27FC236}">
              <a16:creationId xmlns:a16="http://schemas.microsoft.com/office/drawing/2014/main" id="{00000000-0008-0000-0400-00000A090000}"/>
            </a:ext>
          </a:extLst>
        </xdr:cNvPr>
        <xdr:cNvSpPr/>
      </xdr:nvSpPr>
      <xdr:spPr>
        <a:xfrm>
          <a:off x="14249400" y="14706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5" name="S_TE_E3i2">
          <a:extLst>
            <a:ext uri="{FF2B5EF4-FFF2-40B4-BE49-F238E27FC236}">
              <a16:creationId xmlns:a16="http://schemas.microsoft.com/office/drawing/2014/main" id="{00000000-0008-0000-0400-00000B090000}"/>
            </a:ext>
          </a:extLst>
        </xdr:cNvPr>
        <xdr:cNvSpPr/>
      </xdr:nvSpPr>
      <xdr:spPr>
        <a:xfrm>
          <a:off x="19171920" y="14706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6" name="S_TE_E3i3">
          <a:extLst>
            <a:ext uri="{FF2B5EF4-FFF2-40B4-BE49-F238E27FC236}">
              <a16:creationId xmlns:a16="http://schemas.microsoft.com/office/drawing/2014/main" id="{00000000-0008-0000-0400-00000C090000}"/>
            </a:ext>
          </a:extLst>
        </xdr:cNvPr>
        <xdr:cNvSpPr/>
      </xdr:nvSpPr>
      <xdr:spPr>
        <a:xfrm>
          <a:off x="25389839" y="14706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117</xdr:col>
      <xdr:colOff>259079</xdr:colOff>
      <xdr:row>12</xdr:row>
      <xdr:rowOff>175260</xdr:rowOff>
    </xdr:to>
    <xdr:sp macro="" textlink="">
      <xdr:nvSpPr>
        <xdr:cNvPr id="2320" name="S_TH_5">
          <a:extLst>
            <a:ext uri="{FF2B5EF4-FFF2-40B4-BE49-F238E27FC236}">
              <a16:creationId xmlns:a16="http://schemas.microsoft.com/office/drawing/2014/main" id="{00000000-0008-0000-0400-000010090000}"/>
            </a:ext>
          </a:extLst>
        </xdr:cNvPr>
        <xdr:cNvSpPr/>
      </xdr:nvSpPr>
      <xdr:spPr>
        <a:xfrm>
          <a:off x="14249400" y="16992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2" name="S_TE_E5i1">
          <a:extLst>
            <a:ext uri="{FF2B5EF4-FFF2-40B4-BE49-F238E27FC236}">
              <a16:creationId xmlns:a16="http://schemas.microsoft.com/office/drawing/2014/main" id="{00000000-0008-0000-0400-000012090000}"/>
            </a:ext>
          </a:extLst>
        </xdr:cNvPr>
        <xdr:cNvSpPr/>
      </xdr:nvSpPr>
      <xdr:spPr>
        <a:xfrm>
          <a:off x="14249400" y="16992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3" name="S_TE_E5i2">
          <a:extLst>
            <a:ext uri="{FF2B5EF4-FFF2-40B4-BE49-F238E27FC236}">
              <a16:creationId xmlns:a16="http://schemas.microsoft.com/office/drawing/2014/main" id="{00000000-0008-0000-0400-000013090000}"/>
            </a:ext>
          </a:extLst>
        </xdr:cNvPr>
        <xdr:cNvSpPr/>
      </xdr:nvSpPr>
      <xdr:spPr>
        <a:xfrm>
          <a:off x="19171920" y="16992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4" name="S_TE_E5i3">
          <a:extLst>
            <a:ext uri="{FF2B5EF4-FFF2-40B4-BE49-F238E27FC236}">
              <a16:creationId xmlns:a16="http://schemas.microsoft.com/office/drawing/2014/main" id="{00000000-0008-0000-0400-000014090000}"/>
            </a:ext>
          </a:extLst>
        </xdr:cNvPr>
        <xdr:cNvSpPr/>
      </xdr:nvSpPr>
      <xdr:spPr>
        <a:xfrm>
          <a:off x="25389839" y="16992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28" name="S_TH_6">
          <a:extLst>
            <a:ext uri="{FF2B5EF4-FFF2-40B4-BE49-F238E27FC236}">
              <a16:creationId xmlns:a16="http://schemas.microsoft.com/office/drawing/2014/main" id="{00000000-0008-0000-0400-000018090000}"/>
            </a:ext>
          </a:extLst>
        </xdr:cNvPr>
        <xdr:cNvSpPr/>
      </xdr:nvSpPr>
      <xdr:spPr>
        <a:xfrm>
          <a:off x="26685239" y="1927860"/>
          <a:ext cx="77724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0" name="S_TE_E6">
          <a:extLst>
            <a:ext uri="{FF2B5EF4-FFF2-40B4-BE49-F238E27FC236}">
              <a16:creationId xmlns:a16="http://schemas.microsoft.com/office/drawing/2014/main" id="{00000000-0008-0000-0400-00001A090000}"/>
            </a:ext>
          </a:extLst>
        </xdr:cNvPr>
        <xdr:cNvSpPr/>
      </xdr:nvSpPr>
      <xdr:spPr>
        <a:xfrm>
          <a:off x="26685239" y="1927860"/>
          <a:ext cx="77724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2" name="S_TH_7">
          <a:extLst>
            <a:ext uri="{FF2B5EF4-FFF2-40B4-BE49-F238E27FC236}">
              <a16:creationId xmlns:a16="http://schemas.microsoft.com/office/drawing/2014/main" id="{00000000-0008-0000-0400-00001C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4" name="S_TE_E7">
          <a:extLst>
            <a:ext uri="{FF2B5EF4-FFF2-40B4-BE49-F238E27FC236}">
              <a16:creationId xmlns:a16="http://schemas.microsoft.com/office/drawing/2014/main" id="{00000000-0008-0000-0400-00001E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6" name="S_TH_8">
          <a:extLst>
            <a:ext uri="{FF2B5EF4-FFF2-40B4-BE49-F238E27FC236}">
              <a16:creationId xmlns:a16="http://schemas.microsoft.com/office/drawing/2014/main" id="{00000000-0008-0000-0400-000020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8" name="S_TE_E8">
          <a:extLst>
            <a:ext uri="{FF2B5EF4-FFF2-40B4-BE49-F238E27FC236}">
              <a16:creationId xmlns:a16="http://schemas.microsoft.com/office/drawing/2014/main" id="{00000000-0008-0000-0400-000022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0" name="S_TE_9">
          <a:extLst>
            <a:ext uri="{FF2B5EF4-FFF2-40B4-BE49-F238E27FC236}">
              <a16:creationId xmlns:a16="http://schemas.microsoft.com/office/drawing/2014/main" id="{00000000-0008-0000-0400-000024090000}"/>
            </a:ext>
          </a:extLst>
        </xdr:cNvPr>
        <xdr:cNvSpPr/>
      </xdr:nvSpPr>
      <xdr:spPr>
        <a:xfrm>
          <a:off x="56479442" y="2613660"/>
          <a:ext cx="16322043" cy="137160"/>
        </a:xfrm>
        <a:prstGeom prst="leftRightArrow">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258</xdr:col>
      <xdr:colOff>2</xdr:colOff>
      <xdr:row>17</xdr:row>
      <xdr:rowOff>175260</xdr:rowOff>
    </xdr:to>
    <xdr:sp macro="" textlink="">
      <xdr:nvSpPr>
        <xdr:cNvPr id="2342" name="S_TH_10">
          <a:extLst>
            <a:ext uri="{FF2B5EF4-FFF2-40B4-BE49-F238E27FC236}">
              <a16:creationId xmlns:a16="http://schemas.microsoft.com/office/drawing/2014/main" id="{00000000-0008-0000-0400-000026090000}"/>
            </a:ext>
          </a:extLst>
        </xdr:cNvPr>
        <xdr:cNvSpPr/>
      </xdr:nvSpPr>
      <xdr:spPr>
        <a:xfrm>
          <a:off x="56479442" y="2842260"/>
          <a:ext cx="64770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4" name="S_TE_E10i1">
          <a:extLst>
            <a:ext uri="{FF2B5EF4-FFF2-40B4-BE49-F238E27FC236}">
              <a16:creationId xmlns:a16="http://schemas.microsoft.com/office/drawing/2014/main" id="{00000000-0008-0000-0400-000028090000}"/>
            </a:ext>
          </a:extLst>
        </xdr:cNvPr>
        <xdr:cNvSpPr/>
      </xdr:nvSpPr>
      <xdr:spPr>
        <a:xfrm>
          <a:off x="56479442" y="2842260"/>
          <a:ext cx="2331722"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5" name="S_TE_E10i2">
          <a:extLst>
            <a:ext uri="{FF2B5EF4-FFF2-40B4-BE49-F238E27FC236}">
              <a16:creationId xmlns:a16="http://schemas.microsoft.com/office/drawing/2014/main" id="{00000000-0008-0000-0400-000029090000}"/>
            </a:ext>
          </a:extLst>
        </xdr:cNvPr>
        <xdr:cNvSpPr/>
      </xdr:nvSpPr>
      <xdr:spPr>
        <a:xfrm>
          <a:off x="62697358" y="2842260"/>
          <a:ext cx="25907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295</xdr:col>
      <xdr:colOff>259079</xdr:colOff>
      <xdr:row>18</xdr:row>
      <xdr:rowOff>175260</xdr:rowOff>
    </xdr:to>
    <xdr:sp macro="" textlink="">
      <xdr:nvSpPr>
        <xdr:cNvPr id="2348" name="S_TH_11">
          <a:extLst>
            <a:ext uri="{FF2B5EF4-FFF2-40B4-BE49-F238E27FC236}">
              <a16:creationId xmlns:a16="http://schemas.microsoft.com/office/drawing/2014/main" id="{00000000-0008-0000-0400-00002C090000}"/>
            </a:ext>
          </a:extLst>
        </xdr:cNvPr>
        <xdr:cNvSpPr/>
      </xdr:nvSpPr>
      <xdr:spPr>
        <a:xfrm>
          <a:off x="63215521" y="3070860"/>
          <a:ext cx="95859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0" name="S_TE_E11i1">
          <a:extLst>
            <a:ext uri="{FF2B5EF4-FFF2-40B4-BE49-F238E27FC236}">
              <a16:creationId xmlns:a16="http://schemas.microsoft.com/office/drawing/2014/main" id="{00000000-0008-0000-0400-00002E090000}"/>
            </a:ext>
          </a:extLst>
        </xdr:cNvPr>
        <xdr:cNvSpPr/>
      </xdr:nvSpPr>
      <xdr:spPr>
        <a:xfrm>
          <a:off x="63215521" y="3070860"/>
          <a:ext cx="18135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1" name="S_TE_E11i2">
          <a:extLst>
            <a:ext uri="{FF2B5EF4-FFF2-40B4-BE49-F238E27FC236}">
              <a16:creationId xmlns:a16="http://schemas.microsoft.com/office/drawing/2014/main" id="{00000000-0008-0000-0400-00002F090000}"/>
            </a:ext>
          </a:extLst>
        </xdr:cNvPr>
        <xdr:cNvSpPr/>
      </xdr:nvSpPr>
      <xdr:spPr>
        <a:xfrm>
          <a:off x="68915279" y="3070860"/>
          <a:ext cx="2331721"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9</xdr:row>
      <xdr:rowOff>38100</xdr:rowOff>
    </xdr:from>
    <xdr:to>
      <xdr:col>156</xdr:col>
      <xdr:colOff>120903</xdr:colOff>
      <xdr:row>9</xdr:row>
      <xdr:rowOff>175260</xdr:rowOff>
    </xdr:to>
    <xdr:sp macro="" textlink="">
      <xdr:nvSpPr>
        <xdr:cNvPr id="2272" name="S_TP_4">
          <a:extLst>
            <a:ext uri="{FF2B5EF4-FFF2-40B4-BE49-F238E27FC236}">
              <a16:creationId xmlns:a16="http://schemas.microsoft.com/office/drawing/2014/main" id="{00000000-0008-0000-0400-0000E0080000}"/>
            </a:ext>
          </a:extLst>
        </xdr:cNvPr>
        <xdr:cNvSpPr/>
      </xdr:nvSpPr>
      <xdr:spPr>
        <a:xfrm>
          <a:off x="12954000" y="1013460"/>
          <a:ext cx="23697183" cy="137160"/>
        </a:xfrm>
        <a:prstGeom prst="leftRightArrow">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311" name="S_TP_2">
          <a:extLst>
            <a:ext uri="{FF2B5EF4-FFF2-40B4-BE49-F238E27FC236}">
              <a16:creationId xmlns:a16="http://schemas.microsoft.com/office/drawing/2014/main" id="{00000000-0008-0000-0400-000007090000}"/>
            </a:ext>
          </a:extLst>
        </xdr:cNvPr>
        <xdr:cNvSpPr/>
      </xdr:nvSpPr>
      <xdr:spPr>
        <a:xfrm>
          <a:off x="12954000" y="12420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7" name="S_TP_3i1">
          <a:extLst>
            <a:ext uri="{FF2B5EF4-FFF2-40B4-BE49-F238E27FC236}">
              <a16:creationId xmlns:a16="http://schemas.microsoft.com/office/drawing/2014/main" id="{00000000-0008-0000-0400-00000D090000}"/>
            </a:ext>
          </a:extLst>
        </xdr:cNvPr>
        <xdr:cNvSpPr/>
      </xdr:nvSpPr>
      <xdr:spPr>
        <a:xfrm>
          <a:off x="14249400" y="14706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8" name="S_TP_3i2">
          <a:extLst>
            <a:ext uri="{FF2B5EF4-FFF2-40B4-BE49-F238E27FC236}">
              <a16:creationId xmlns:a16="http://schemas.microsoft.com/office/drawing/2014/main" id="{00000000-0008-0000-0400-00000E090000}"/>
            </a:ext>
          </a:extLst>
        </xdr:cNvPr>
        <xdr:cNvSpPr/>
      </xdr:nvSpPr>
      <xdr:spPr>
        <a:xfrm>
          <a:off x="19171920" y="14706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9" name="S_TP_3i3">
          <a:extLst>
            <a:ext uri="{FF2B5EF4-FFF2-40B4-BE49-F238E27FC236}">
              <a16:creationId xmlns:a16="http://schemas.microsoft.com/office/drawing/2014/main" id="{00000000-0008-0000-0400-00000F090000}"/>
            </a:ext>
          </a:extLst>
        </xdr:cNvPr>
        <xdr:cNvSpPr/>
      </xdr:nvSpPr>
      <xdr:spPr>
        <a:xfrm>
          <a:off x="25389839" y="14706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5" name="S_TP_5i1">
          <a:extLst>
            <a:ext uri="{FF2B5EF4-FFF2-40B4-BE49-F238E27FC236}">
              <a16:creationId xmlns:a16="http://schemas.microsoft.com/office/drawing/2014/main" id="{00000000-0008-0000-0400-000015090000}"/>
            </a:ext>
          </a:extLst>
        </xdr:cNvPr>
        <xdr:cNvSpPr/>
      </xdr:nvSpPr>
      <xdr:spPr>
        <a:xfrm>
          <a:off x="14249400" y="16992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6" name="S_TP_5i2">
          <a:extLst>
            <a:ext uri="{FF2B5EF4-FFF2-40B4-BE49-F238E27FC236}">
              <a16:creationId xmlns:a16="http://schemas.microsoft.com/office/drawing/2014/main" id="{00000000-0008-0000-0400-000016090000}"/>
            </a:ext>
          </a:extLst>
        </xdr:cNvPr>
        <xdr:cNvSpPr/>
      </xdr:nvSpPr>
      <xdr:spPr>
        <a:xfrm>
          <a:off x="19171920" y="16992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7" name="S_TP_5i3">
          <a:extLst>
            <a:ext uri="{FF2B5EF4-FFF2-40B4-BE49-F238E27FC236}">
              <a16:creationId xmlns:a16="http://schemas.microsoft.com/office/drawing/2014/main" id="{00000000-0008-0000-0400-000017090000}"/>
            </a:ext>
          </a:extLst>
        </xdr:cNvPr>
        <xdr:cNvSpPr/>
      </xdr:nvSpPr>
      <xdr:spPr>
        <a:xfrm>
          <a:off x="25389839" y="16992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1" name="S_TP_6">
          <a:extLst>
            <a:ext uri="{FF2B5EF4-FFF2-40B4-BE49-F238E27FC236}">
              <a16:creationId xmlns:a16="http://schemas.microsoft.com/office/drawing/2014/main" id="{00000000-0008-0000-0400-00001B090000}"/>
            </a:ext>
          </a:extLst>
        </xdr:cNvPr>
        <xdr:cNvSpPr/>
      </xdr:nvSpPr>
      <xdr:spPr>
        <a:xfrm>
          <a:off x="26685239" y="1927860"/>
          <a:ext cx="77724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140</xdr:col>
      <xdr:colOff>0</xdr:colOff>
      <xdr:row>14</xdr:row>
      <xdr:rowOff>175260</xdr:rowOff>
    </xdr:to>
    <xdr:sp macro="" textlink="">
      <xdr:nvSpPr>
        <xdr:cNvPr id="2335" name="S_TP_7">
          <a:extLst>
            <a:ext uri="{FF2B5EF4-FFF2-40B4-BE49-F238E27FC236}">
              <a16:creationId xmlns:a16="http://schemas.microsoft.com/office/drawing/2014/main" id="{00000000-0008-0000-0400-00001F090000}"/>
            </a:ext>
          </a:extLst>
        </xdr:cNvPr>
        <xdr:cNvSpPr/>
      </xdr:nvSpPr>
      <xdr:spPr>
        <a:xfrm>
          <a:off x="31607761" y="2156460"/>
          <a:ext cx="777239"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9" name="S_TP_8">
          <a:extLst>
            <a:ext uri="{FF2B5EF4-FFF2-40B4-BE49-F238E27FC236}">
              <a16:creationId xmlns:a16="http://schemas.microsoft.com/office/drawing/2014/main" id="{00000000-0008-0000-0400-000023090000}"/>
            </a:ext>
          </a:extLst>
        </xdr:cNvPr>
        <xdr:cNvSpPr/>
      </xdr:nvSpPr>
      <xdr:spPr>
        <a:xfrm>
          <a:off x="37825679" y="2385060"/>
          <a:ext cx="518160"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1" name="S_TP_9">
          <a:extLst>
            <a:ext uri="{FF2B5EF4-FFF2-40B4-BE49-F238E27FC236}">
              <a16:creationId xmlns:a16="http://schemas.microsoft.com/office/drawing/2014/main" id="{00000000-0008-0000-0400-000025090000}"/>
            </a:ext>
          </a:extLst>
        </xdr:cNvPr>
        <xdr:cNvSpPr/>
      </xdr:nvSpPr>
      <xdr:spPr>
        <a:xfrm>
          <a:off x="56479442" y="2613660"/>
          <a:ext cx="16322043" cy="137160"/>
        </a:xfrm>
        <a:prstGeom prst="leftRightArrow">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6" name="S_TP_10i1">
          <a:extLst>
            <a:ext uri="{FF2B5EF4-FFF2-40B4-BE49-F238E27FC236}">
              <a16:creationId xmlns:a16="http://schemas.microsoft.com/office/drawing/2014/main" id="{00000000-0008-0000-0400-00002A090000}"/>
            </a:ext>
          </a:extLst>
        </xdr:cNvPr>
        <xdr:cNvSpPr/>
      </xdr:nvSpPr>
      <xdr:spPr>
        <a:xfrm>
          <a:off x="56479442" y="2842260"/>
          <a:ext cx="2331722"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7" name="S_TP_10i2">
          <a:extLst>
            <a:ext uri="{FF2B5EF4-FFF2-40B4-BE49-F238E27FC236}">
              <a16:creationId xmlns:a16="http://schemas.microsoft.com/office/drawing/2014/main" id="{00000000-0008-0000-0400-00002B090000}"/>
            </a:ext>
          </a:extLst>
        </xdr:cNvPr>
        <xdr:cNvSpPr/>
      </xdr:nvSpPr>
      <xdr:spPr>
        <a:xfrm>
          <a:off x="62697358" y="2842260"/>
          <a:ext cx="25907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2" name="S_TP_11i1">
          <a:extLst>
            <a:ext uri="{FF2B5EF4-FFF2-40B4-BE49-F238E27FC236}">
              <a16:creationId xmlns:a16="http://schemas.microsoft.com/office/drawing/2014/main" id="{00000000-0008-0000-0400-000030090000}"/>
            </a:ext>
          </a:extLst>
        </xdr:cNvPr>
        <xdr:cNvSpPr/>
      </xdr:nvSpPr>
      <xdr:spPr>
        <a:xfrm>
          <a:off x="63215521" y="3070860"/>
          <a:ext cx="181355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3" name="S_TP_11i2">
          <a:extLst>
            <a:ext uri="{FF2B5EF4-FFF2-40B4-BE49-F238E27FC236}">
              <a16:creationId xmlns:a16="http://schemas.microsoft.com/office/drawing/2014/main" id="{00000000-0008-0000-0400-000031090000}"/>
            </a:ext>
          </a:extLst>
        </xdr:cNvPr>
        <xdr:cNvSpPr/>
      </xdr:nvSpPr>
      <xdr:spPr>
        <a:xfrm>
          <a:off x="68915279" y="3070860"/>
          <a:ext cx="2331721"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79</xdr:col>
      <xdr:colOff>182880</xdr:colOff>
      <xdr:row>10</xdr:row>
      <xdr:rowOff>175260</xdr:rowOff>
    </xdr:to>
    <xdr:sp macro="" textlink="">
      <xdr:nvSpPr>
        <xdr:cNvPr id="2274" name="S_TGB_2">
          <a:extLst>
            <a:ext uri="{FF2B5EF4-FFF2-40B4-BE49-F238E27FC236}">
              <a16:creationId xmlns:a16="http://schemas.microsoft.com/office/drawing/2014/main" id="{00000000-0008-0000-0400-0000E2080000}"/>
            </a:ext>
          </a:extLst>
        </xdr:cNvPr>
        <xdr:cNvSpPr/>
      </xdr:nvSpPr>
      <xdr:spPr>
        <a:xfrm>
          <a:off x="12954000" y="1242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Đánh giá &amp; Khuyến ng</a:t>
          </a:r>
        </a:p>
      </xdr:txBody>
    </xdr:sp>
    <xdr:clientData/>
  </xdr:twoCellAnchor>
  <xdr:twoCellAnchor>
    <xdr:from>
      <xdr:col>70</xdr:col>
      <xdr:colOff>0</xdr:colOff>
      <xdr:row>11</xdr:row>
      <xdr:rowOff>38100</xdr:rowOff>
    </xdr:from>
    <xdr:to>
      <xdr:col>84</xdr:col>
      <xdr:colOff>182880</xdr:colOff>
      <xdr:row>11</xdr:row>
      <xdr:rowOff>175260</xdr:rowOff>
    </xdr:to>
    <xdr:sp macro="" textlink="">
      <xdr:nvSpPr>
        <xdr:cNvPr id="2313" name="S_TGB_3">
          <a:extLst>
            <a:ext uri="{FF2B5EF4-FFF2-40B4-BE49-F238E27FC236}">
              <a16:creationId xmlns:a16="http://schemas.microsoft.com/office/drawing/2014/main" id="{00000000-0008-0000-0400-000009090000}"/>
            </a:ext>
          </a:extLst>
        </xdr:cNvPr>
        <xdr:cNvSpPr/>
      </xdr:nvSpPr>
      <xdr:spPr>
        <a:xfrm>
          <a:off x="14249400" y="14706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Phát triển các điều </a:t>
          </a:r>
        </a:p>
      </xdr:txBody>
    </xdr:sp>
    <xdr:clientData/>
  </xdr:twoCellAnchor>
  <xdr:twoCellAnchor>
    <xdr:from>
      <xdr:col>70</xdr:col>
      <xdr:colOff>0</xdr:colOff>
      <xdr:row>12</xdr:row>
      <xdr:rowOff>38100</xdr:rowOff>
    </xdr:from>
    <xdr:to>
      <xdr:col>84</xdr:col>
      <xdr:colOff>182880</xdr:colOff>
      <xdr:row>12</xdr:row>
      <xdr:rowOff>175260</xdr:rowOff>
    </xdr:to>
    <xdr:sp macro="" textlink="">
      <xdr:nvSpPr>
        <xdr:cNvPr id="2321" name="S_TGB_5">
          <a:extLst>
            <a:ext uri="{FF2B5EF4-FFF2-40B4-BE49-F238E27FC236}">
              <a16:creationId xmlns:a16="http://schemas.microsoft.com/office/drawing/2014/main" id="{00000000-0008-0000-0400-000011090000}"/>
            </a:ext>
          </a:extLst>
        </xdr:cNvPr>
        <xdr:cNvSpPr/>
      </xdr:nvSpPr>
      <xdr:spPr>
        <a:xfrm>
          <a:off x="14249400" y="1699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900" b="1">
              <a:solidFill>
                <a:srgbClr val="262626"/>
              </a:solidFill>
            </a:rPr>
            <a:t>Phát triển các trườn</a:t>
          </a:r>
          <a:endParaRPr lang="en-US" sz="900" b="1">
            <a:solidFill>
              <a:srgbClr val="262626"/>
            </a:solidFill>
          </a:endParaRPr>
        </a:p>
      </xdr:txBody>
    </xdr:sp>
    <xdr:clientData/>
  </xdr:twoCellAnchor>
  <xdr:twoCellAnchor>
    <xdr:from>
      <xdr:col>117</xdr:col>
      <xdr:colOff>259079</xdr:colOff>
      <xdr:row>13</xdr:row>
      <xdr:rowOff>38100</xdr:rowOff>
    </xdr:from>
    <xdr:to>
      <xdr:col>132</xdr:col>
      <xdr:colOff>182879</xdr:colOff>
      <xdr:row>13</xdr:row>
      <xdr:rowOff>175260</xdr:rowOff>
    </xdr:to>
    <xdr:sp macro="" textlink="">
      <xdr:nvSpPr>
        <xdr:cNvPr id="2329" name="S_TGB_6">
          <a:extLst>
            <a:ext uri="{FF2B5EF4-FFF2-40B4-BE49-F238E27FC236}">
              <a16:creationId xmlns:a16="http://schemas.microsoft.com/office/drawing/2014/main" id="{00000000-0008-0000-0400-000019090000}"/>
            </a:ext>
          </a:extLst>
        </xdr:cNvPr>
        <xdr:cNvSpPr/>
      </xdr:nvSpPr>
      <xdr:spPr>
        <a:xfrm>
          <a:off x="26685239" y="1927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Gửi Điều lệ Dự án, G</a:t>
          </a:r>
        </a:p>
      </xdr:txBody>
    </xdr:sp>
    <xdr:clientData/>
  </xdr:twoCellAnchor>
  <xdr:twoCellAnchor>
    <xdr:from>
      <xdr:col>137</xdr:col>
      <xdr:colOff>1</xdr:colOff>
      <xdr:row>14</xdr:row>
      <xdr:rowOff>38100</xdr:rowOff>
    </xdr:from>
    <xdr:to>
      <xdr:col>151</xdr:col>
      <xdr:colOff>182881</xdr:colOff>
      <xdr:row>14</xdr:row>
      <xdr:rowOff>175260</xdr:rowOff>
    </xdr:to>
    <xdr:sp macro="" textlink="">
      <xdr:nvSpPr>
        <xdr:cNvPr id="2333" name="S_TGB_7">
          <a:extLst>
            <a:ext uri="{FF2B5EF4-FFF2-40B4-BE49-F238E27FC236}">
              <a16:creationId xmlns:a16="http://schemas.microsoft.com/office/drawing/2014/main" id="{00000000-0008-0000-0400-00001D090000}"/>
            </a:ext>
          </a:extLst>
        </xdr:cNvPr>
        <xdr:cNvSpPr/>
      </xdr:nvSpPr>
      <xdr:spPr>
        <a:xfrm>
          <a:off x="31607761" y="21564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Nhà tài trợ dự án Đá</a:t>
          </a:r>
        </a:p>
      </xdr:txBody>
    </xdr:sp>
    <xdr:clientData/>
  </xdr:twoCellAnchor>
  <xdr:twoCellAnchor>
    <xdr:from>
      <xdr:col>160</xdr:col>
      <xdr:colOff>259079</xdr:colOff>
      <xdr:row>15</xdr:row>
      <xdr:rowOff>38100</xdr:rowOff>
    </xdr:from>
    <xdr:to>
      <xdr:col>175</xdr:col>
      <xdr:colOff>182879</xdr:colOff>
      <xdr:row>15</xdr:row>
      <xdr:rowOff>175260</xdr:rowOff>
    </xdr:to>
    <xdr:sp macro="" textlink="">
      <xdr:nvSpPr>
        <xdr:cNvPr id="2337" name="S_TGB_8">
          <a:extLst>
            <a:ext uri="{FF2B5EF4-FFF2-40B4-BE49-F238E27FC236}">
              <a16:creationId xmlns:a16="http://schemas.microsoft.com/office/drawing/2014/main" id="{00000000-0008-0000-0400-000021090000}"/>
            </a:ext>
          </a:extLst>
        </xdr:cNvPr>
        <xdr:cNvSpPr/>
      </xdr:nvSpPr>
      <xdr:spPr>
        <a:xfrm>
          <a:off x="37825679" y="2385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Điều lệ dự án Đã ký </a:t>
          </a:r>
        </a:p>
      </xdr:txBody>
    </xdr:sp>
    <xdr:clientData/>
  </xdr:twoCellAnchor>
  <xdr:twoCellAnchor>
    <xdr:from>
      <xdr:col>233</xdr:col>
      <xdr:colOff>2</xdr:colOff>
      <xdr:row>17</xdr:row>
      <xdr:rowOff>38100</xdr:rowOff>
    </xdr:from>
    <xdr:to>
      <xdr:col>247</xdr:col>
      <xdr:colOff>182882</xdr:colOff>
      <xdr:row>17</xdr:row>
      <xdr:rowOff>175260</xdr:rowOff>
    </xdr:to>
    <xdr:sp macro="" textlink="">
      <xdr:nvSpPr>
        <xdr:cNvPr id="2343" name="S_TGB_10">
          <a:extLst>
            <a:ext uri="{FF2B5EF4-FFF2-40B4-BE49-F238E27FC236}">
              <a16:creationId xmlns:a16="http://schemas.microsoft.com/office/drawing/2014/main" id="{00000000-0008-0000-0400-000027090000}"/>
            </a:ext>
          </a:extLst>
        </xdr:cNvPr>
        <xdr:cNvSpPr/>
      </xdr:nvSpPr>
      <xdr:spPr>
        <a:xfrm>
          <a:off x="56479442" y="2842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Tạo Tuyên bố Phạm vi</a:t>
          </a:r>
        </a:p>
      </xdr:txBody>
    </xdr:sp>
    <xdr:clientData/>
  </xdr:twoCellAnchor>
  <xdr:twoCellAnchor>
    <xdr:from>
      <xdr:col>259</xdr:col>
      <xdr:colOff>1</xdr:colOff>
      <xdr:row>18</xdr:row>
      <xdr:rowOff>38100</xdr:rowOff>
    </xdr:from>
    <xdr:to>
      <xdr:col>273</xdr:col>
      <xdr:colOff>182881</xdr:colOff>
      <xdr:row>18</xdr:row>
      <xdr:rowOff>175260</xdr:rowOff>
    </xdr:to>
    <xdr:sp macro="" textlink="">
      <xdr:nvSpPr>
        <xdr:cNvPr id="2349" name="S_TGB_11">
          <a:extLst>
            <a:ext uri="{FF2B5EF4-FFF2-40B4-BE49-F238E27FC236}">
              <a16:creationId xmlns:a16="http://schemas.microsoft.com/office/drawing/2014/main" id="{00000000-0008-0000-0400-00002D090000}"/>
            </a:ext>
          </a:extLst>
        </xdr:cNvPr>
        <xdr:cNvSpPr/>
      </xdr:nvSpPr>
      <xdr:spPr>
        <a:xfrm>
          <a:off x="63215521" y="3070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Xác định nhóm dự án</a:t>
          </a:r>
        </a:p>
      </xdr:txBody>
    </xdr:sp>
    <xdr:clientData/>
  </xdr:twoCellAnchor>
  <xdr:twoCellAnchor>
    <xdr:from>
      <xdr:col>24</xdr:col>
      <xdr:colOff>0</xdr:colOff>
      <xdr:row>9</xdr:row>
      <xdr:rowOff>50800</xdr:rowOff>
    </xdr:from>
    <xdr:to>
      <xdr:col>61</xdr:col>
      <xdr:colOff>251460</xdr:colOff>
      <xdr:row>10</xdr:row>
      <xdr:rowOff>203200</xdr:rowOff>
    </xdr:to>
    <xdr:sp macro="mRefreshGC" textlink="">
      <xdr:nvSpPr>
        <xdr:cNvPr id="3" name="refreshButton">
          <a:extLst>
            <a:ext uri="{FF2B5EF4-FFF2-40B4-BE49-F238E27FC236}">
              <a16:creationId xmlns:a16="http://schemas.microsoft.com/office/drawing/2014/main" id="{5600DBE4-28E8-25D9-EC81-80F62DEA0DA5}"/>
            </a:ext>
          </a:extLst>
        </xdr:cNvPr>
        <xdr:cNvSpPr/>
      </xdr:nvSpPr>
      <xdr:spPr>
        <a:xfrm>
          <a:off x="11628120" y="1010920"/>
          <a:ext cx="1905000" cy="381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400">
              <a:solidFill>
                <a:srgbClr val="FFFFFF"/>
              </a:solidFill>
            </a:rPr>
            <a:t>Refresh Project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3.8"/>
  <cols>
    <col min="1" max="4" width="12.8984375" customWidth="1"/>
    <col min="5" max="5" width="15" customWidth="1"/>
    <col min="6" max="6" width="14.69921875" customWidth="1"/>
    <col min="7" max="7" width="16.3984375" customWidth="1"/>
    <col min="8" max="8" width="15.59765625" customWidth="1"/>
    <col min="9" max="16" width="12.8984375" customWidth="1"/>
    <col min="17" max="17" width="15.09765625" customWidth="1"/>
    <col min="18" max="23" width="12.8984375" customWidth="1"/>
    <col min="24" max="24" width="13" customWidth="1"/>
    <col min="25" max="26" width="23" customWidth="1"/>
    <col min="27" max="57" width="12.8984375" customWidth="1"/>
    <col min="58" max="61" width="11" customWidth="1"/>
  </cols>
  <sheetData>
    <row r="1" spans="1:59">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09765625" defaultRowHeight="13.8"/>
  <cols>
    <col min="1" max="1" width="9.09765625" style="52"/>
    <col min="2" max="2" width="9.09765625" style="63"/>
    <col min="3" max="11" width="9.09765625" style="52"/>
    <col min="12" max="12" width="14.8984375" style="87" customWidth="1"/>
    <col min="13" max="13" width="14.8984375" style="88" customWidth="1"/>
    <col min="14" max="14" width="12.8984375" style="52" customWidth="1"/>
    <col min="15" max="19" width="9.09765625" style="52"/>
    <col min="20" max="20" width="12.69921875" style="52" customWidth="1"/>
    <col min="21" max="27" width="9.09765625" style="52"/>
    <col min="28" max="28" width="19.69921875" style="52" customWidth="1"/>
    <col min="29" max="45" width="9.09765625" style="52"/>
    <col min="46" max="46" width="9.09765625" style="88"/>
    <col min="47" max="64" width="9.09765625" style="52"/>
    <col min="65" max="65" width="9.09765625" style="57"/>
    <col min="66" max="71" width="9.09765625" style="60"/>
    <col min="72" max="102" width="9.09765625" style="52"/>
    <col min="103" max="103" width="9.09765625" style="62"/>
    <col min="104" max="313" width="9.09765625" style="52"/>
    <col min="314" max="325" width="9.09765625" style="62"/>
    <col min="326" max="16384" width="9.09765625" style="52"/>
  </cols>
  <sheetData>
    <row r="1" spans="1:33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44700</v>
      </c>
      <c r="LO2" s="48">
        <v>1</v>
      </c>
      <c r="LP2" s="12" t="s">
        <v>245</v>
      </c>
      <c r="LQ2" s="49" t="s">
        <v>285</v>
      </c>
      <c r="LR2" s="49" t="s">
        <v>286</v>
      </c>
      <c r="LS2" s="49" t="s">
        <v>246</v>
      </c>
      <c r="LT2" s="12" t="s">
        <v>247</v>
      </c>
      <c r="LU2" s="12"/>
      <c r="LV2" s="50">
        <v>44669</v>
      </c>
    </row>
    <row r="3" spans="1:33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3.8"/>
  <cols>
    <col min="1" max="1" width="1" style="98" customWidth="1"/>
    <col min="2" max="6" width="15.69921875" customWidth="1"/>
    <col min="7" max="7" width="15.69921875" style="98" customWidth="1"/>
    <col min="8" max="13" width="15.69921875" customWidth="1"/>
    <col min="14" max="15" width="15.69921875" hidden="1" customWidth="1"/>
    <col min="16" max="16" width="6.09765625" hidden="1" customWidth="1"/>
    <col min="17" max="17" width="10.296875" hidden="1" customWidth="1"/>
    <col min="18" max="18" width="10.69921875" hidden="1" customWidth="1"/>
    <col min="19" max="19" width="6" hidden="1" customWidth="1"/>
    <col min="20" max="20" width="9.69921875" hidden="1" customWidth="1"/>
    <col min="21" max="21" width="11.296875" hidden="1" customWidth="1"/>
    <col min="22" max="22" width="11.8984375" hidden="1" customWidth="1"/>
    <col min="23" max="23" width="10.09765625" hidden="1" customWidth="1"/>
    <col min="24" max="24" width="9.69921875" hidden="1" customWidth="1"/>
    <col min="25" max="25" width="10.09765625" hidden="1" customWidth="1"/>
    <col min="26" max="26" width="6" hidden="1" customWidth="1"/>
    <col min="27" max="27" width="10.3984375" hidden="1" customWidth="1"/>
    <col min="28" max="28" width="9.69921875" hidden="1" customWidth="1"/>
    <col min="29" max="30" width="6.09765625" hidden="1" customWidth="1"/>
    <col min="31" max="16384" width="6" hidden="1"/>
  </cols>
  <sheetData>
    <row r="1" spans="1:53" s="2" customFormat="1" ht="11.25" customHeight="1">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19.8" thickBot="1">
      <c r="A2" s="108"/>
      <c r="B2" s="257"/>
      <c r="C2" s="257"/>
      <c r="D2" s="257"/>
      <c r="E2" s="257"/>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c r="A3" s="124"/>
      <c r="B3" s="259" t="s">
        <v>11</v>
      </c>
      <c r="C3" s="259"/>
      <c r="D3" s="259"/>
      <c r="E3" s="259"/>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c r="A5" s="98"/>
      <c r="B5"/>
      <c r="C5"/>
      <c r="D5" s="103" t="s">
        <v>9</v>
      </c>
      <c r="E5" s="102" t="str">
        <f>IF(S2 = "","",S2)</f>
        <v/>
      </c>
      <c r="F5" s="6"/>
      <c r="G5" s="98"/>
      <c r="H5"/>
    </row>
    <row r="6" spans="1:53" s="2" customFormat="1" ht="15" customHeight="1">
      <c r="A6" s="98"/>
      <c r="B6"/>
      <c r="C6"/>
      <c r="D6" s="103" t="s">
        <v>7</v>
      </c>
      <c r="E6" s="104">
        <f>AA2</f>
        <v>44398</v>
      </c>
      <c r="F6" s="5"/>
      <c r="G6" s="98"/>
      <c r="H6"/>
      <c r="J6" s="13"/>
      <c r="K6" s="13"/>
      <c r="L6" s="13"/>
      <c r="M6" s="13"/>
      <c r="N6" s="13"/>
      <c r="O6" s="13"/>
    </row>
    <row r="7" spans="1:53" s="2" customFormat="1" ht="15" customHeight="1">
      <c r="A7" s="98"/>
      <c r="B7"/>
      <c r="C7"/>
      <c r="D7" s="103" t="s">
        <v>5</v>
      </c>
      <c r="E7" s="104">
        <f>AB2</f>
        <v>44411</v>
      </c>
      <c r="F7" s="5"/>
      <c r="G7" s="98"/>
      <c r="H7"/>
      <c r="J7" s="13"/>
      <c r="K7" s="13"/>
      <c r="L7" s="13"/>
      <c r="M7" s="13"/>
      <c r="N7" s="13"/>
      <c r="O7" s="13"/>
    </row>
    <row r="8" spans="1:53" s="2" customFormat="1" ht="15" customHeight="1">
      <c r="A8" s="98"/>
      <c r="B8"/>
      <c r="C8"/>
      <c r="D8" s="115"/>
      <c r="E8" s="116"/>
      <c r="F8" s="4"/>
      <c r="G8" s="98"/>
      <c r="H8"/>
      <c r="J8" s="13"/>
      <c r="K8" s="13"/>
      <c r="L8" s="13"/>
      <c r="M8" s="13"/>
      <c r="N8" s="13"/>
      <c r="O8" s="13"/>
    </row>
    <row r="9" spans="1:53" s="2" customFormat="1" ht="15" customHeight="1">
      <c r="A9" s="98"/>
      <c r="B9" s="254"/>
      <c r="C9" s="255"/>
      <c r="D9" s="101" t="s">
        <v>3</v>
      </c>
      <c r="E9" s="105">
        <f>AC2</f>
        <v>5</v>
      </c>
      <c r="F9" s="4"/>
      <c r="G9" s="98"/>
      <c r="H9"/>
    </row>
    <row r="10" spans="1:53" s="2" customFormat="1" ht="15" customHeight="1">
      <c r="A10" s="98"/>
      <c r="B10"/>
      <c r="C10"/>
      <c r="D10" s="103" t="s">
        <v>56</v>
      </c>
      <c r="E10" s="105">
        <f>AD2</f>
        <v>0</v>
      </c>
      <c r="F10" s="4"/>
      <c r="G10" s="98"/>
      <c r="H10"/>
    </row>
    <row r="11" spans="1:53" s="2" customFormat="1" ht="15" customHeight="1">
      <c r="A11" s="98"/>
      <c r="B11"/>
      <c r="C11"/>
      <c r="D11" s="103" t="s">
        <v>57</v>
      </c>
      <c r="E11" s="105">
        <f>AE2</f>
        <v>0</v>
      </c>
      <c r="F11" s="4"/>
      <c r="G11" s="98"/>
      <c r="H11"/>
    </row>
    <row r="12" spans="1:53" s="2" customFormat="1" ht="15" customHeight="1">
      <c r="A12" s="98"/>
      <c r="B12"/>
      <c r="C12"/>
      <c r="D12" s="103" t="s">
        <v>58</v>
      </c>
      <c r="E12" s="105">
        <f>AF2</f>
        <v>5</v>
      </c>
      <c r="F12" s="3"/>
      <c r="G12" s="98"/>
      <c r="H12"/>
    </row>
    <row r="13" spans="1:53" s="2" customFormat="1" ht="15" customHeight="1">
      <c r="A13" s="98"/>
      <c r="B13" s="97"/>
      <c r="C13" s="97"/>
      <c r="D13" s="103" t="s">
        <v>59</v>
      </c>
      <c r="E13" s="106">
        <f>AG2</f>
        <v>0</v>
      </c>
      <c r="F13" s="3"/>
      <c r="G13" s="98"/>
      <c r="H13" s="97"/>
    </row>
    <row r="14" spans="1:53" s="2" customFormat="1" ht="15" customHeight="1">
      <c r="A14" s="98"/>
      <c r="B14" s="97"/>
      <c r="C14" s="97"/>
      <c r="D14" s="100"/>
      <c r="E14" s="99"/>
      <c r="F14" s="3"/>
      <c r="G14" s="98"/>
      <c r="H14" s="97"/>
    </row>
    <row r="15" spans="1:53" s="2" customFormat="1" ht="15.6">
      <c r="A15" s="98"/>
      <c r="B15" s="258"/>
      <c r="C15" s="258"/>
      <c r="D15" s="258"/>
      <c r="E15" s="258"/>
      <c r="F15" s="113"/>
      <c r="G15" s="98"/>
      <c r="H15"/>
    </row>
    <row r="16" spans="1:53" s="7" customFormat="1" ht="15" customHeight="1">
      <c r="A16" s="98"/>
      <c r="B16" s="1"/>
      <c r="C16" s="1"/>
      <c r="D16" s="125"/>
      <c r="E16" s="125"/>
      <c r="F16" s="1"/>
      <c r="G16" s="98"/>
      <c r="H16" s="1"/>
    </row>
    <row r="17" spans="1:8" s="2" customFormat="1">
      <c r="A17" s="98"/>
      <c r="B17"/>
      <c r="C17"/>
      <c r="D17" s="1"/>
      <c r="E17" s="1"/>
      <c r="F17"/>
      <c r="G17" s="98"/>
      <c r="H17"/>
    </row>
    <row r="18" spans="1:8" s="2" customFormat="1" ht="15" customHeight="1">
      <c r="A18" s="98"/>
      <c r="B18"/>
      <c r="C18"/>
      <c r="D18" s="256" t="str">
        <f>BA2</f>
        <v/>
      </c>
      <c r="E18" s="256"/>
      <c r="F18"/>
      <c r="G18" s="98"/>
      <c r="H18"/>
    </row>
    <row r="19" spans="1:8" s="2" customFormat="1" ht="15" customHeight="1">
      <c r="A19" s="98"/>
      <c r="B19"/>
      <c r="C19"/>
      <c r="D19"/>
      <c r="E19"/>
      <c r="F19"/>
      <c r="G19" s="98"/>
      <c r="H19"/>
    </row>
    <row r="20" spans="1:8" s="2" customFormat="1" ht="15" customHeight="1">
      <c r="A20" s="98"/>
      <c r="B20" s="253"/>
      <c r="C20" s="253"/>
      <c r="D20"/>
      <c r="E20"/>
      <c r="F20"/>
      <c r="G20" s="98"/>
      <c r="H20"/>
    </row>
    <row r="21" spans="1:8" s="2" customFormat="1" ht="15" customHeight="1">
      <c r="A21" s="98"/>
      <c r="B21"/>
      <c r="C21"/>
      <c r="D21" s="8"/>
      <c r="E21"/>
      <c r="F21"/>
      <c r="G21" s="98"/>
      <c r="H21"/>
    </row>
    <row r="22" spans="1:8" s="2" customFormat="1" ht="15" customHeight="1">
      <c r="A22" s="98"/>
      <c r="B22"/>
      <c r="C22"/>
      <c r="D22"/>
      <c r="E22"/>
      <c r="F22"/>
      <c r="G22" s="98"/>
      <c r="H22"/>
    </row>
    <row r="23" spans="1:8" s="2" customFormat="1" ht="15" customHeight="1">
      <c r="A23" s="98"/>
      <c r="B23"/>
      <c r="C23"/>
      <c r="D23"/>
      <c r="E23"/>
      <c r="F23"/>
      <c r="G23" s="98"/>
      <c r="H23"/>
    </row>
    <row r="24" spans="1:8" s="2" customFormat="1" ht="15" customHeight="1">
      <c r="A24" s="98"/>
      <c r="B24"/>
      <c r="C24"/>
      <c r="D24"/>
      <c r="E24"/>
      <c r="F24"/>
      <c r="G24" s="98"/>
      <c r="H24"/>
    </row>
    <row r="25" spans="1:8" s="2" customFormat="1" ht="15" customHeight="1">
      <c r="A25" s="98"/>
      <c r="B25"/>
      <c r="C25"/>
      <c r="D25"/>
      <c r="E25"/>
      <c r="F25"/>
      <c r="G25" s="98"/>
      <c r="H25"/>
    </row>
    <row r="26" spans="1:8" s="7" customFormat="1" ht="15" customHeight="1">
      <c r="A26" s="98"/>
      <c r="B26"/>
      <c r="C26"/>
      <c r="D26"/>
      <c r="E26"/>
      <c r="F26"/>
      <c r="G26" s="98"/>
      <c r="H26"/>
    </row>
    <row r="27" spans="1:8" s="2" customFormat="1" ht="15" customHeight="1">
      <c r="A27" s="98"/>
      <c r="B27" s="1"/>
      <c r="C27" s="1"/>
      <c r="D27"/>
      <c r="E27"/>
      <c r="F27" s="1"/>
      <c r="G27" s="98"/>
      <c r="H27" s="1"/>
    </row>
    <row r="28" spans="1:8" s="2" customFormat="1" ht="15" customHeight="1">
      <c r="A28" s="98"/>
      <c r="B28"/>
      <c r="C28"/>
      <c r="D28" s="1"/>
      <c r="E28" s="1"/>
      <c r="F28"/>
      <c r="G28" s="98"/>
      <c r="H28"/>
    </row>
    <row r="29" spans="1:8" s="2" customFormat="1" ht="15" customHeight="1">
      <c r="A29" s="98"/>
      <c r="B29"/>
      <c r="C29"/>
      <c r="D29"/>
      <c r="E29"/>
      <c r="F29"/>
      <c r="G29" s="98"/>
      <c r="H29"/>
    </row>
    <row r="30" spans="1:8" s="2" customFormat="1" ht="15" customHeight="1">
      <c r="A30" s="98"/>
      <c r="B30"/>
      <c r="C30"/>
      <c r="D30"/>
      <c r="E30"/>
      <c r="F30"/>
      <c r="G30" s="98"/>
      <c r="H30"/>
    </row>
    <row r="31" spans="1:8" s="2" customFormat="1" ht="15" customHeight="1">
      <c r="A31" s="98"/>
      <c r="B31"/>
      <c r="C31"/>
      <c r="D31"/>
      <c r="E31"/>
      <c r="F31"/>
      <c r="G31" s="98"/>
      <c r="H31"/>
    </row>
    <row r="32" spans="1:8" s="2" customFormat="1" ht="15" customHeight="1">
      <c r="A32" s="98"/>
      <c r="B32"/>
      <c r="C32"/>
      <c r="D32"/>
      <c r="E32"/>
      <c r="F32"/>
      <c r="G32" s="98"/>
      <c r="H32"/>
    </row>
    <row r="33" spans="1:8" s="2" customFormat="1" ht="15" customHeight="1">
      <c r="A33" s="98"/>
      <c r="B33" s="91"/>
      <c r="C33" s="91"/>
      <c r="D33" s="8"/>
      <c r="E33"/>
      <c r="F33" s="91"/>
      <c r="G33" s="98"/>
      <c r="H33" s="91"/>
    </row>
    <row r="34" spans="1:8" s="2" customFormat="1" ht="15" customHeight="1">
      <c r="A34" s="98"/>
      <c r="B34" s="91"/>
      <c r="C34" s="91"/>
      <c r="D34" s="91"/>
      <c r="E34" s="91"/>
      <c r="F34" s="91"/>
      <c r="G34" s="98"/>
      <c r="H34" s="91"/>
    </row>
    <row r="35" spans="1:8" s="2" customFormat="1" ht="15" customHeight="1">
      <c r="A35" s="98"/>
      <c r="B35" s="93"/>
      <c r="C35" s="93"/>
      <c r="D35" s="91"/>
      <c r="E35" s="112"/>
      <c r="F35" s="93"/>
      <c r="G35" s="98"/>
      <c r="H35" s="91"/>
    </row>
    <row r="36" spans="1:8" s="2" customFormat="1" ht="15" customHeight="1">
      <c r="A36" s="98"/>
      <c r="B36" s="93"/>
      <c r="C36" s="93"/>
      <c r="D36" s="93"/>
      <c r="E36" s="93"/>
      <c r="F36" s="93"/>
      <c r="G36" s="98"/>
      <c r="H36" s="91"/>
    </row>
    <row r="37" spans="1:8" s="2" customFormat="1" ht="15" customHeight="1">
      <c r="A37" s="98"/>
      <c r="B37" s="93"/>
      <c r="C37" s="93"/>
      <c r="D37" s="93"/>
      <c r="E37" s="93"/>
      <c r="F37" s="93"/>
      <c r="G37" s="98"/>
      <c r="H37" s="91"/>
    </row>
    <row r="38" spans="1:8" s="2" customFormat="1" ht="15" customHeight="1">
      <c r="A38" s="98"/>
      <c r="B38" s="93"/>
      <c r="C38" s="93"/>
      <c r="D38" s="93"/>
      <c r="E38" s="93"/>
      <c r="F38" s="93"/>
      <c r="G38" s="98"/>
      <c r="H38" s="91"/>
    </row>
    <row r="39" spans="1:8" s="2" customFormat="1" ht="15" customHeight="1">
      <c r="A39" s="98"/>
      <c r="B39" s="93"/>
      <c r="C39" s="93"/>
      <c r="D39" s="93"/>
      <c r="E39" s="93"/>
      <c r="F39" s="93"/>
      <c r="G39" s="98"/>
      <c r="H39" s="91"/>
    </row>
    <row r="40" spans="1:8" s="2" customFormat="1" ht="15" customHeight="1">
      <c r="A40" s="98"/>
      <c r="B40" s="93"/>
      <c r="C40" s="93"/>
      <c r="D40" s="93"/>
      <c r="E40" s="93"/>
      <c r="F40" s="93"/>
      <c r="G40" s="98"/>
      <c r="H40" s="91"/>
    </row>
    <row r="41" spans="1:8" s="2" customFormat="1" ht="15" customHeight="1">
      <c r="A41" s="98"/>
      <c r="B41" s="93"/>
      <c r="C41" s="93"/>
      <c r="D41" s="93"/>
      <c r="E41" s="93"/>
      <c r="F41" s="93"/>
      <c r="G41" s="98"/>
      <c r="H41" s="91"/>
    </row>
    <row r="42" spans="1:8" s="2" customFormat="1" ht="15" customHeight="1">
      <c r="A42" s="98"/>
      <c r="B42"/>
      <c r="C42"/>
      <c r="D42" s="93"/>
      <c r="E42" s="93"/>
      <c r="F42"/>
      <c r="G42" s="98"/>
      <c r="H42"/>
    </row>
    <row r="43" spans="1:8" s="2" customFormat="1" ht="15" customHeight="1">
      <c r="A43" s="98"/>
      <c r="B43" s="1"/>
      <c r="C43" s="1"/>
      <c r="D43"/>
      <c r="E43"/>
      <c r="F43" s="1"/>
      <c r="G43" s="98"/>
      <c r="H43"/>
    </row>
    <row r="44" spans="1:8" s="2" customFormat="1" ht="15" customHeight="1">
      <c r="A44" s="98"/>
      <c r="B44" s="1"/>
      <c r="C44" s="1"/>
      <c r="D44" s="1"/>
      <c r="E44" s="1"/>
      <c r="F44" s="1"/>
      <c r="G44" s="98"/>
      <c r="H44"/>
    </row>
    <row r="45" spans="1:8" ht="15" customHeight="1">
      <c r="D45" s="1"/>
      <c r="E45" s="1"/>
    </row>
    <row r="46" spans="1:8" ht="15" customHeight="1"/>
    <row r="47" spans="1:8" ht="15" customHeight="1"/>
    <row r="48" spans="1: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3.8"/>
  <cols>
    <col min="1" max="1" width="13.09765625" bestFit="1" customWidth="1"/>
    <col min="2" max="2" width="11.59765625" bestFit="1" customWidth="1"/>
    <col min="6" max="8" width="9.09765625" style="128"/>
    <col min="10" max="11" width="13.09765625" bestFit="1" customWidth="1"/>
    <col min="12" max="12" width="11.59765625" bestFit="1" customWidth="1"/>
    <col min="13" max="13" width="8.69921875" bestFit="1" customWidth="1"/>
    <col min="14" max="14" width="8.296875" bestFit="1" customWidth="1"/>
    <col min="15" max="17" width="8.296875" style="128" customWidth="1"/>
    <col min="18" max="18" width="11.296875" bestFit="1" customWidth="1"/>
    <col min="21" max="21" width="14.296875" bestFit="1" customWidth="1"/>
    <col min="22" max="22" width="7.09765625" bestFit="1" customWidth="1"/>
    <col min="23" max="23" width="11" bestFit="1" customWidth="1"/>
    <col min="24" max="26" width="11" style="128" customWidth="1"/>
    <col min="27" max="27" width="11" bestFit="1" customWidth="1"/>
    <col min="31" max="31" width="12" bestFit="1" customWidth="1"/>
    <col min="32" max="32" width="17.8984375" bestFit="1" customWidth="1"/>
    <col min="33" max="33" width="31.296875" bestFit="1" customWidth="1"/>
    <col min="34" max="35" width="31.296875" style="128" customWidth="1"/>
    <col min="36" max="36" width="31.296875" bestFit="1" customWidth="1"/>
    <col min="37" max="37" width="33.09765625" bestFit="1" customWidth="1"/>
    <col min="38" max="39" width="36.296875" style="127" bestFit="1" customWidth="1"/>
    <col min="40" max="40" width="14.296875" bestFit="1" customWidth="1"/>
    <col min="41" max="41" width="22.296875" bestFit="1" customWidth="1"/>
    <col min="42" max="42" width="13.09765625" bestFit="1" customWidth="1"/>
    <col min="43" max="43" width="11.59765625" bestFit="1" customWidth="1"/>
    <col min="47" max="49" width="9.09765625" style="128"/>
    <col min="53" max="53" width="13.09765625" bestFit="1" customWidth="1"/>
    <col min="54" max="54" width="7.09765625" bestFit="1" customWidth="1"/>
    <col min="57" max="59" width="9.09765625" style="128"/>
    <col min="63" max="63" width="12" bestFit="1" customWidth="1"/>
    <col min="64" max="64" width="7.09765625" bestFit="1" customWidth="1"/>
    <col min="66" max="70" width="9.09765625" style="128"/>
    <col min="72" max="72" width="12" bestFit="1" customWidth="1"/>
    <col min="73" max="73" width="7.09765625" bestFit="1" customWidth="1"/>
    <col min="76" max="76" width="12" bestFit="1" customWidth="1"/>
    <col min="77" max="77" width="17.8984375" bestFit="1" customWidth="1"/>
    <col min="81" max="81" width="12" bestFit="1" customWidth="1"/>
    <col min="82" max="82" width="17.8984375" bestFit="1" customWidth="1"/>
  </cols>
  <sheetData>
    <row r="1" spans="1:7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c r="AP3" s="123"/>
      <c r="AQ3" s="123"/>
      <c r="BA3" s="127"/>
      <c r="BB3" s="127"/>
    </row>
    <row r="4" spans="1:73">
      <c r="A4" s="94" t="s">
        <v>216</v>
      </c>
      <c r="B4" t="s">
        <v>217</v>
      </c>
      <c r="K4" s="94" t="s">
        <v>216</v>
      </c>
      <c r="L4" t="s">
        <v>217</v>
      </c>
      <c r="U4" s="94" t="s">
        <v>218</v>
      </c>
      <c r="AL4"/>
      <c r="AM4"/>
      <c r="AP4" s="94" t="s">
        <v>216</v>
      </c>
      <c r="AQ4" t="s">
        <v>217</v>
      </c>
      <c r="BA4" s="94" t="s">
        <v>216</v>
      </c>
    </row>
    <row r="5" spans="1:73">
      <c r="A5" s="96" t="s">
        <v>56</v>
      </c>
      <c r="B5" s="95">
        <v>1</v>
      </c>
      <c r="K5" s="96" t="s">
        <v>237</v>
      </c>
      <c r="L5" s="95">
        <v>1</v>
      </c>
      <c r="U5" s="96" t="s">
        <v>192</v>
      </c>
      <c r="V5" s="129"/>
      <c r="AL5"/>
      <c r="AM5"/>
      <c r="AP5" s="126" t="s">
        <v>242</v>
      </c>
      <c r="AQ5" s="95">
        <v>1</v>
      </c>
      <c r="BA5" s="96" t="s">
        <v>235</v>
      </c>
    </row>
    <row r="6" spans="1:73">
      <c r="A6" s="96" t="s">
        <v>244</v>
      </c>
      <c r="B6" s="95">
        <v>1</v>
      </c>
      <c r="K6" s="96" t="s">
        <v>236</v>
      </c>
      <c r="L6" s="95">
        <v>1</v>
      </c>
      <c r="U6" s="96" t="s">
        <v>220</v>
      </c>
      <c r="V6" s="129"/>
      <c r="AL6"/>
      <c r="AM6"/>
      <c r="AP6" s="126" t="s">
        <v>240</v>
      </c>
      <c r="AQ6" s="95">
        <v>3</v>
      </c>
    </row>
    <row r="7" spans="1:73">
      <c r="A7" s="96" t="s">
        <v>59</v>
      </c>
      <c r="B7" s="95">
        <v>1</v>
      </c>
      <c r="K7" s="96" t="s">
        <v>168</v>
      </c>
      <c r="L7" s="95">
        <v>2</v>
      </c>
      <c r="U7" s="96" t="s">
        <v>193</v>
      </c>
      <c r="V7" s="129"/>
      <c r="AL7"/>
      <c r="AM7"/>
    </row>
    <row r="8" spans="1:73">
      <c r="A8" s="96" t="s">
        <v>58</v>
      </c>
      <c r="B8" s="95">
        <v>1</v>
      </c>
      <c r="AL8"/>
      <c r="AM8"/>
    </row>
    <row r="9" spans="1:73">
      <c r="AL9"/>
      <c r="AM9"/>
    </row>
    <row r="10" spans="1:7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36"/>
  <sheetViews>
    <sheetView showGridLines="0" showRowColHeaders="0" tabSelected="1" topLeftCell="H9" zoomScale="85" zoomScaleNormal="85" workbookViewId="0">
      <selection activeCell="U14" sqref="U14"/>
    </sheetView>
  </sheetViews>
  <sheetFormatPr defaultColWidth="0" defaultRowHeight="13.8"/>
  <cols>
    <col min="1" max="7" width="0" style="134" hidden="1" customWidth="1"/>
    <col min="8" max="9" width="2.69921875" style="134" customWidth="1"/>
    <col min="10" max="10" width="4.59765625" style="150" bestFit="1" customWidth="1"/>
    <col min="11" max="11" width="45.69921875" style="136" customWidth="1"/>
    <col min="12" max="12" width="10.69921875" style="138" customWidth="1"/>
    <col min="13" max="13" width="10.69921875" style="134" hidden="1" customWidth="1"/>
    <col min="14" max="14" width="15.69921875" style="136" customWidth="1"/>
    <col min="15" max="18" width="15.69921875" style="137" hidden="1" customWidth="1"/>
    <col min="19" max="20" width="21.69921875" style="137" customWidth="1"/>
    <col min="21" max="21" width="10.69921875" style="137" customWidth="1"/>
    <col min="22" max="22" width="15.69921875" style="134" hidden="1" customWidth="1"/>
    <col min="23" max="23" width="5.69921875" style="134" customWidth="1"/>
    <col min="24" max="24" width="10.69921875" style="135" customWidth="1"/>
    <col min="25" max="30" width="15.69921875" style="137" hidden="1" customWidth="1"/>
    <col min="31" max="31" width="15.69921875" style="139" hidden="1" customWidth="1"/>
    <col min="32" max="55" width="15.69921875" style="134" hidden="1" customWidth="1"/>
    <col min="56" max="56" width="2.69921875" style="134" customWidth="1"/>
    <col min="57" max="296" width="3.796875" customWidth="1"/>
    <col min="297" max="16384" width="10.796875" hidden="1"/>
  </cols>
  <sheetData>
    <row r="1" spans="1:306" hidden="1">
      <c r="A1" s="134" t="s">
        <v>234</v>
      </c>
      <c r="B1" s="134" t="s">
        <v>226</v>
      </c>
      <c r="C1" s="134" t="s">
        <v>227</v>
      </c>
      <c r="D1" s="134" t="s">
        <v>228</v>
      </c>
      <c r="E1" s="134" t="s">
        <v>229</v>
      </c>
      <c r="F1" s="134" t="s">
        <v>230</v>
      </c>
      <c r="G1" s="134" t="s">
        <v>160</v>
      </c>
      <c r="H1" s="134" t="s">
        <v>161</v>
      </c>
      <c r="I1" s="134" t="s">
        <v>231</v>
      </c>
      <c r="J1" s="150"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KJ1" t="s">
        <v>280</v>
      </c>
    </row>
    <row r="2" spans="1:306" hidden="1">
      <c r="A2" s="134" t="s">
        <v>263</v>
      </c>
      <c r="B2" s="134" t="s">
        <v>263</v>
      </c>
      <c r="C2" s="134" t="s">
        <v>263</v>
      </c>
      <c r="D2" s="134" t="s">
        <v>263</v>
      </c>
      <c r="E2" s="134" t="s">
        <v>263</v>
      </c>
      <c r="F2" s="134" t="s">
        <v>263</v>
      </c>
      <c r="G2" s="134" t="s">
        <v>263</v>
      </c>
      <c r="H2" s="134">
        <v>1</v>
      </c>
      <c r="I2" s="134" t="s">
        <v>263</v>
      </c>
      <c r="J2" s="150"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row r="4" spans="1:306" hidden="1"/>
    <row r="5" spans="1:306" hidden="1"/>
    <row r="6" spans="1:306" ht="24" customHeight="1">
      <c r="H6" s="140"/>
      <c r="I6" s="140"/>
      <c r="J6" s="151"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44669.041666666664</v>
      </c>
      <c r="BG6" s="146">
        <v>44669.083333333336</v>
      </c>
      <c r="BH6" s="146">
        <v>44669.125</v>
      </c>
      <c r="BI6" s="146">
        <v>44669.166666666664</v>
      </c>
      <c r="BJ6" s="146">
        <v>44669.208333333336</v>
      </c>
      <c r="BK6" s="146">
        <v>44669.25</v>
      </c>
      <c r="BL6" s="146">
        <v>44669.291666666664</v>
      </c>
      <c r="BM6" s="146">
        <v>44669.333333333336</v>
      </c>
      <c r="BN6" s="146">
        <v>44669.375</v>
      </c>
      <c r="BO6" s="146">
        <v>44669.416666666664</v>
      </c>
      <c r="BP6" s="146">
        <v>44669.458333333336</v>
      </c>
      <c r="BQ6" s="146">
        <v>44669.5</v>
      </c>
      <c r="BR6" s="146">
        <v>44669.541666666664</v>
      </c>
      <c r="BS6" s="146">
        <v>44669.583333333336</v>
      </c>
      <c r="BT6" s="146">
        <v>44669.625</v>
      </c>
      <c r="BU6" s="146">
        <v>44669.666666666664</v>
      </c>
      <c r="BV6" s="146">
        <v>44669.708333333336</v>
      </c>
      <c r="BW6" s="146">
        <v>44669.75</v>
      </c>
      <c r="BX6" s="146">
        <v>44669.791666666664</v>
      </c>
      <c r="BY6" s="146">
        <v>44669.833333333336</v>
      </c>
      <c r="BZ6" s="146">
        <v>44669.875</v>
      </c>
      <c r="CA6" s="146">
        <v>44669.916666666664</v>
      </c>
      <c r="CB6" s="146">
        <v>44669.958333333336</v>
      </c>
      <c r="CC6" s="146">
        <v>44670</v>
      </c>
      <c r="CD6" s="146">
        <v>44670.041666666664</v>
      </c>
      <c r="CE6" s="146">
        <v>44670.083333333336</v>
      </c>
      <c r="CF6" s="146">
        <v>44670.125</v>
      </c>
      <c r="CG6" s="146">
        <v>44670.166666666664</v>
      </c>
      <c r="CH6" s="146">
        <v>44670.208333333336</v>
      </c>
      <c r="CI6" s="146">
        <v>44670.25</v>
      </c>
      <c r="CJ6" s="146">
        <v>44670.291666666664</v>
      </c>
      <c r="CK6" s="146">
        <v>44670.333333333336</v>
      </c>
      <c r="CL6" s="146">
        <v>44670.375</v>
      </c>
      <c r="CM6" s="146">
        <v>44670.416666666664</v>
      </c>
      <c r="CN6" s="146">
        <v>44670.458333333336</v>
      </c>
      <c r="CO6" s="146">
        <v>44670.5</v>
      </c>
      <c r="CP6" s="146">
        <v>44670.541666666664</v>
      </c>
      <c r="CQ6" s="146">
        <v>44670.583333333336</v>
      </c>
      <c r="CR6" s="146">
        <v>44670.625</v>
      </c>
      <c r="CS6" s="146">
        <v>44670.666666666664</v>
      </c>
      <c r="CT6" s="146">
        <v>44670.708333333336</v>
      </c>
      <c r="CU6" s="146">
        <v>44670.75</v>
      </c>
      <c r="CV6" s="146">
        <v>44670.791666666664</v>
      </c>
      <c r="CW6" s="146">
        <v>44670.833333333336</v>
      </c>
      <c r="CX6" s="146">
        <v>44670.875</v>
      </c>
      <c r="CY6" s="146">
        <v>44670.916666666664</v>
      </c>
      <c r="CZ6" s="146">
        <v>44670.958333333336</v>
      </c>
      <c r="DA6" s="146">
        <v>44671</v>
      </c>
      <c r="DB6" s="146">
        <v>44671.041666666664</v>
      </c>
      <c r="DC6" s="146">
        <v>44671.083333333336</v>
      </c>
      <c r="DD6" s="146">
        <v>44671.125</v>
      </c>
      <c r="DE6" s="146">
        <v>44671.166666666664</v>
      </c>
      <c r="DF6" s="146">
        <v>44671.208333333336</v>
      </c>
      <c r="DG6" s="146">
        <v>44671.25</v>
      </c>
      <c r="DH6" s="146">
        <v>44671.291666666664</v>
      </c>
      <c r="DI6" s="146">
        <v>44671.333333333336</v>
      </c>
      <c r="DJ6" s="146">
        <v>44671.375</v>
      </c>
      <c r="DK6" s="146">
        <v>44671.416666666664</v>
      </c>
      <c r="DL6" s="146">
        <v>44671.458333333336</v>
      </c>
      <c r="DM6" s="146">
        <v>44671.5</v>
      </c>
      <c r="DN6" s="146">
        <v>44671.541666666664</v>
      </c>
      <c r="DO6" s="146">
        <v>44671.583333333336</v>
      </c>
      <c r="DP6" s="146">
        <v>44671.625</v>
      </c>
      <c r="DQ6" s="146">
        <v>44671.666666666664</v>
      </c>
      <c r="DR6" s="146">
        <v>44671.708333333336</v>
      </c>
      <c r="DS6" s="146">
        <v>44671.75</v>
      </c>
      <c r="DT6" s="146">
        <v>44671.791666666664</v>
      </c>
      <c r="DU6" s="146">
        <v>44671.833333333336</v>
      </c>
      <c r="DV6" s="146">
        <v>44671.875</v>
      </c>
      <c r="DW6" s="146">
        <v>44671.916666666664</v>
      </c>
      <c r="DX6" s="146">
        <v>44671.958333333336</v>
      </c>
      <c r="DY6" s="146">
        <v>44672</v>
      </c>
      <c r="DZ6" s="146">
        <v>44672.041666666664</v>
      </c>
      <c r="EA6" s="146">
        <v>44672.083333333336</v>
      </c>
      <c r="EB6" s="146">
        <v>44672.125</v>
      </c>
      <c r="EC6" s="146">
        <v>44672.166666666664</v>
      </c>
      <c r="ED6" s="146">
        <v>44672.208333333336</v>
      </c>
      <c r="EE6" s="146">
        <v>44672.25</v>
      </c>
      <c r="EF6" s="146">
        <v>44672.291666666664</v>
      </c>
      <c r="EG6" s="146">
        <v>44672.333333333336</v>
      </c>
      <c r="EH6" s="146">
        <v>44672.375</v>
      </c>
      <c r="EI6" s="146">
        <v>44672.416666666664</v>
      </c>
      <c r="EJ6" s="146">
        <v>44672.458333333336</v>
      </c>
      <c r="EK6" s="146">
        <v>44672.5</v>
      </c>
      <c r="EL6" s="146">
        <v>44672.541666666664</v>
      </c>
      <c r="EM6" s="146">
        <v>44672.583333333336</v>
      </c>
      <c r="EN6" s="146">
        <v>44672.625</v>
      </c>
      <c r="EO6" s="146">
        <v>44672.666666666664</v>
      </c>
      <c r="EP6" s="146">
        <v>44672.708333333336</v>
      </c>
      <c r="EQ6" s="146">
        <v>44672.75</v>
      </c>
      <c r="ER6" s="146">
        <v>44672.791666666664</v>
      </c>
      <c r="ES6" s="146">
        <v>44672.833333333336</v>
      </c>
      <c r="ET6" s="146">
        <v>44672.875</v>
      </c>
      <c r="EU6" s="146">
        <v>44672.916666666664</v>
      </c>
      <c r="EV6" s="146">
        <v>44672.958333333336</v>
      </c>
      <c r="EW6" s="146">
        <v>44673</v>
      </c>
      <c r="EX6" s="146">
        <v>44673.041666666664</v>
      </c>
      <c r="EY6" s="146">
        <v>44673.083333333336</v>
      </c>
      <c r="EZ6" s="146">
        <v>44673.125</v>
      </c>
      <c r="FA6" s="146">
        <v>44673.166666666664</v>
      </c>
      <c r="FB6" s="146">
        <v>44673.208333333336</v>
      </c>
      <c r="FC6" s="146">
        <v>44673.25</v>
      </c>
      <c r="FD6" s="146">
        <v>44673.291666666664</v>
      </c>
      <c r="FE6" s="146">
        <v>44673.333333333336</v>
      </c>
      <c r="FF6" s="146">
        <v>44673.375</v>
      </c>
      <c r="FG6" s="146">
        <v>44673.416666666664</v>
      </c>
      <c r="FH6" s="146">
        <v>44673.458333333336</v>
      </c>
      <c r="FI6" s="146">
        <v>44673.5</v>
      </c>
      <c r="FJ6" s="146">
        <v>44673.541666666664</v>
      </c>
      <c r="FK6" s="146">
        <v>44673.583333333336</v>
      </c>
      <c r="FL6" s="146">
        <v>44673.625</v>
      </c>
      <c r="FM6" s="146">
        <v>44673.666666666664</v>
      </c>
      <c r="FN6" s="146">
        <v>44673.708333333336</v>
      </c>
      <c r="FO6" s="146">
        <v>44673.75</v>
      </c>
      <c r="FP6" s="146">
        <v>44673.791666666664</v>
      </c>
      <c r="FQ6" s="146">
        <v>44673.833333333336</v>
      </c>
      <c r="FR6" s="146">
        <v>44673.875</v>
      </c>
      <c r="FS6" s="146">
        <v>44673.916666666664</v>
      </c>
      <c r="FT6" s="146">
        <v>44673.958333333336</v>
      </c>
      <c r="FU6" s="146">
        <v>44674</v>
      </c>
      <c r="FV6" s="146">
        <v>44674.041666666664</v>
      </c>
      <c r="FW6" s="146">
        <v>44674.083333333336</v>
      </c>
      <c r="FX6" s="146">
        <v>44674.125</v>
      </c>
      <c r="FY6" s="146">
        <v>44674.166666666664</v>
      </c>
      <c r="FZ6" s="146">
        <v>44674.208333333336</v>
      </c>
      <c r="GA6" s="146">
        <v>44674.25</v>
      </c>
      <c r="GB6" s="146">
        <v>44674.291666666664</v>
      </c>
      <c r="GC6" s="146">
        <v>44674.333333333336</v>
      </c>
      <c r="GD6" s="146">
        <v>44674.375</v>
      </c>
      <c r="GE6" s="146">
        <v>44674.416666666664</v>
      </c>
      <c r="GF6" s="146">
        <v>44674.458333333336</v>
      </c>
      <c r="GG6" s="146">
        <v>44674.5</v>
      </c>
      <c r="GH6" s="146">
        <v>44674.541666666664</v>
      </c>
      <c r="GI6" s="146">
        <v>44674.583333333336</v>
      </c>
      <c r="GJ6" s="146">
        <v>44674.625</v>
      </c>
      <c r="GK6" s="146">
        <v>44674.666666666664</v>
      </c>
      <c r="GL6" s="146">
        <v>44674.708333333336</v>
      </c>
      <c r="GM6" s="146">
        <v>44674.75</v>
      </c>
      <c r="GN6" s="146">
        <v>44674.791666666664</v>
      </c>
      <c r="GO6" s="146">
        <v>44674.833333333336</v>
      </c>
      <c r="GP6" s="146">
        <v>44674.875</v>
      </c>
      <c r="GQ6" s="146">
        <v>44674.916666666664</v>
      </c>
      <c r="GR6" s="146">
        <v>44674.958333333336</v>
      </c>
      <c r="GS6" s="146">
        <v>44675</v>
      </c>
      <c r="GT6" s="146">
        <v>44675.041666666664</v>
      </c>
      <c r="GU6" s="146">
        <v>44675.083333333336</v>
      </c>
      <c r="GV6" s="146">
        <v>44675.125</v>
      </c>
      <c r="GW6" s="146">
        <v>44675.166666666664</v>
      </c>
      <c r="GX6" s="146">
        <v>44675.208333333336</v>
      </c>
      <c r="GY6" s="146">
        <v>44675.25</v>
      </c>
      <c r="GZ6" s="146">
        <v>44675.291666666664</v>
      </c>
      <c r="HA6" s="146">
        <v>44675.333333333336</v>
      </c>
      <c r="HB6" s="146">
        <v>44675.375</v>
      </c>
      <c r="HC6" s="146">
        <v>44675.416666666664</v>
      </c>
      <c r="HD6" s="146">
        <v>44675.458333333336</v>
      </c>
      <c r="HE6" s="146">
        <v>44675.5</v>
      </c>
      <c r="HF6" s="146">
        <v>44675.541666666664</v>
      </c>
      <c r="HG6" s="146">
        <v>44675.583333333336</v>
      </c>
      <c r="HH6" s="146">
        <v>44675.625</v>
      </c>
      <c r="HI6" s="146">
        <v>44675.666666666664</v>
      </c>
      <c r="HJ6" s="146">
        <v>44675.708333333336</v>
      </c>
      <c r="HK6" s="146">
        <v>44675.75</v>
      </c>
      <c r="HL6" s="146">
        <v>44675.791666666664</v>
      </c>
      <c r="HM6" s="146">
        <v>44675.833333333336</v>
      </c>
      <c r="HN6" s="146">
        <v>44675.875</v>
      </c>
      <c r="HO6" s="146">
        <v>44675.916666666664</v>
      </c>
      <c r="HP6" s="146">
        <v>44675.958333333336</v>
      </c>
      <c r="HQ6" s="146">
        <v>44676</v>
      </c>
      <c r="HR6" s="146">
        <v>44676.041666666664</v>
      </c>
      <c r="HS6" s="146">
        <v>44676.083333333336</v>
      </c>
      <c r="HT6" s="146">
        <v>44676.125</v>
      </c>
      <c r="HU6" s="146">
        <v>44676.166666666664</v>
      </c>
      <c r="HV6" s="146">
        <v>44676.208333333336</v>
      </c>
      <c r="HW6" s="146">
        <v>44676.25</v>
      </c>
      <c r="HX6" s="146">
        <v>44676.291666666664</v>
      </c>
      <c r="HY6" s="146">
        <v>44676.333333333336</v>
      </c>
      <c r="HZ6" s="146">
        <v>44676.375</v>
      </c>
      <c r="IA6" s="146">
        <v>44676.416666666664</v>
      </c>
      <c r="IB6" s="146">
        <v>44676.458333333336</v>
      </c>
      <c r="IC6" s="146">
        <v>44676.5</v>
      </c>
      <c r="ID6" s="146">
        <v>44676.541666666664</v>
      </c>
      <c r="IE6" s="146">
        <v>44676.583333333336</v>
      </c>
      <c r="IF6" s="146">
        <v>44676.625</v>
      </c>
      <c r="IG6" s="146">
        <v>44676.666666666664</v>
      </c>
      <c r="IH6" s="146">
        <v>44676.708333333336</v>
      </c>
      <c r="II6" s="146">
        <v>44676.75</v>
      </c>
      <c r="IJ6" s="146">
        <v>44676.791666666664</v>
      </c>
      <c r="IK6" s="146">
        <v>44676.833333333336</v>
      </c>
      <c r="IL6" s="146">
        <v>44676.875</v>
      </c>
      <c r="IM6" s="146">
        <v>44676.916666666664</v>
      </c>
      <c r="IN6" s="146">
        <v>44676.958333333336</v>
      </c>
      <c r="IO6" s="146">
        <v>44677</v>
      </c>
      <c r="IP6" s="146">
        <v>44677.041666666664</v>
      </c>
      <c r="IQ6" s="146">
        <v>44677.083333333336</v>
      </c>
      <c r="IR6" s="146">
        <v>44677.125</v>
      </c>
      <c r="IS6" s="146">
        <v>44677.166666666664</v>
      </c>
      <c r="IT6" s="146">
        <v>44677.208333333336</v>
      </c>
      <c r="IU6" s="146">
        <v>44677.25</v>
      </c>
      <c r="IV6" s="146">
        <v>44677.291666666664</v>
      </c>
      <c r="IW6" s="146">
        <v>44677.333333333336</v>
      </c>
      <c r="IX6" s="146">
        <v>44677.375</v>
      </c>
      <c r="IY6" s="146">
        <v>44677.416666666664</v>
      </c>
      <c r="IZ6" s="146">
        <v>44677.458333333336</v>
      </c>
      <c r="JA6" s="146">
        <v>44677.5</v>
      </c>
      <c r="JB6" s="146">
        <v>44677.541666666664</v>
      </c>
      <c r="JC6" s="146">
        <v>44677.583333333336</v>
      </c>
      <c r="JD6" s="146">
        <v>44677.625</v>
      </c>
      <c r="JE6" s="146">
        <v>44677.666666666664</v>
      </c>
      <c r="JF6" s="146">
        <v>44677.708333333336</v>
      </c>
      <c r="JG6" s="146">
        <v>44677.75</v>
      </c>
      <c r="JH6" s="146">
        <v>44677.791666666664</v>
      </c>
      <c r="JI6" s="146">
        <v>44677.833333333336</v>
      </c>
      <c r="JJ6" s="146">
        <v>44677.875</v>
      </c>
      <c r="JK6" s="146">
        <v>44677.916666666664</v>
      </c>
      <c r="JL6" s="146">
        <v>44677.958333333336</v>
      </c>
      <c r="JM6" s="146">
        <v>44678</v>
      </c>
      <c r="JN6" s="146">
        <v>44678.041666666664</v>
      </c>
      <c r="JO6" s="146">
        <v>44678.083333333336</v>
      </c>
      <c r="JP6" s="146">
        <v>44678.125</v>
      </c>
      <c r="JQ6" s="146">
        <v>44678.166666666664</v>
      </c>
      <c r="JR6" s="146">
        <v>44678.208333333336</v>
      </c>
      <c r="JS6" s="146">
        <v>44678.25</v>
      </c>
      <c r="JT6" s="146">
        <v>44678.291666666664</v>
      </c>
      <c r="JU6" s="146">
        <v>44678.333333333336</v>
      </c>
      <c r="JV6" s="146">
        <v>44678.375</v>
      </c>
      <c r="JW6" s="146">
        <v>44678.416666666664</v>
      </c>
      <c r="JX6" s="146">
        <v>44678.458333333336</v>
      </c>
      <c r="JY6" s="146">
        <v>44678.5</v>
      </c>
      <c r="JZ6" s="146">
        <v>44678.541666666664</v>
      </c>
      <c r="KA6" s="146">
        <v>44678.583333333336</v>
      </c>
      <c r="KB6" s="146">
        <v>44678.625</v>
      </c>
      <c r="KC6" s="146">
        <v>44678.666666666664</v>
      </c>
      <c r="KD6" s="146">
        <v>44678.708333333336</v>
      </c>
      <c r="KE6" s="146">
        <v>44678.75</v>
      </c>
      <c r="KF6" s="146">
        <v>44678.791666666664</v>
      </c>
      <c r="KG6" s="146">
        <v>44678.833333333336</v>
      </c>
      <c r="KH6" s="146">
        <v>44678.875</v>
      </c>
      <c r="KI6" s="146">
        <v>44678.916666666664</v>
      </c>
      <c r="KJ6" s="146">
        <v>44678.958333333336</v>
      </c>
    </row>
    <row r="7" spans="1:306">
      <c r="J7" s="152" t="s">
        <v>284</v>
      </c>
      <c r="BE7" s="212" t="s">
        <v>321</v>
      </c>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213" t="s">
        <v>322</v>
      </c>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212" t="s">
        <v>323</v>
      </c>
      <c r="DB7" s="148"/>
      <c r="DC7" s="148"/>
      <c r="DD7" s="148"/>
      <c r="DE7" s="148"/>
      <c r="DF7" s="148"/>
      <c r="DG7" s="148"/>
      <c r="DH7" s="148"/>
      <c r="DI7" s="148"/>
      <c r="DJ7" s="148"/>
      <c r="DK7" s="148"/>
      <c r="DL7" s="148"/>
      <c r="DM7" s="148"/>
      <c r="DN7" s="148"/>
      <c r="DO7" s="148"/>
      <c r="DP7" s="148"/>
      <c r="DQ7" s="148"/>
      <c r="DR7" s="148"/>
      <c r="DS7" s="148"/>
      <c r="DT7" s="148"/>
      <c r="DU7" s="148"/>
      <c r="DV7" s="148"/>
      <c r="DW7" s="148"/>
      <c r="DX7" s="148"/>
      <c r="DY7" s="213" t="s">
        <v>324</v>
      </c>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212" t="s">
        <v>325</v>
      </c>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214" t="s">
        <v>326</v>
      </c>
      <c r="FV7" s="215"/>
      <c r="FW7" s="215"/>
      <c r="FX7" s="215"/>
      <c r="FY7" s="215"/>
      <c r="FZ7" s="215"/>
      <c r="GA7" s="215"/>
      <c r="GB7" s="215"/>
      <c r="GC7" s="215"/>
      <c r="GD7" s="215"/>
      <c r="GE7" s="215"/>
      <c r="GF7" s="215"/>
      <c r="GG7" s="215"/>
      <c r="GH7" s="215"/>
      <c r="GI7" s="215"/>
      <c r="GJ7" s="215"/>
      <c r="GK7" s="215"/>
      <c r="GL7" s="215"/>
      <c r="GM7" s="215"/>
      <c r="GN7" s="215"/>
      <c r="GO7" s="215"/>
      <c r="GP7" s="215"/>
      <c r="GQ7" s="215"/>
      <c r="GR7" s="215"/>
      <c r="GS7" s="214" t="s">
        <v>327</v>
      </c>
      <c r="GT7" s="215"/>
      <c r="GU7" s="215"/>
      <c r="GV7" s="215"/>
      <c r="GW7" s="215"/>
      <c r="GX7" s="215"/>
      <c r="GY7" s="215"/>
      <c r="GZ7" s="215"/>
      <c r="HA7" s="215"/>
      <c r="HB7" s="215"/>
      <c r="HC7" s="215"/>
      <c r="HD7" s="215"/>
      <c r="HE7" s="215"/>
      <c r="HF7" s="215"/>
      <c r="HG7" s="215"/>
      <c r="HH7" s="215"/>
      <c r="HI7" s="215"/>
      <c r="HJ7" s="215"/>
      <c r="HK7" s="215"/>
      <c r="HL7" s="215"/>
      <c r="HM7" s="215"/>
      <c r="HN7" s="215"/>
      <c r="HO7" s="215"/>
      <c r="HP7" s="215"/>
      <c r="HQ7" s="213" t="s">
        <v>328</v>
      </c>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212" t="s">
        <v>329</v>
      </c>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213" t="s">
        <v>330</v>
      </c>
      <c r="JN7" s="147"/>
      <c r="JO7" s="147"/>
      <c r="JP7" s="147"/>
      <c r="JQ7" s="147"/>
      <c r="JR7" s="147"/>
      <c r="JS7" s="147"/>
      <c r="JT7" s="147"/>
      <c r="JU7" s="147"/>
      <c r="JV7" s="147"/>
      <c r="JW7" s="147"/>
      <c r="JX7" s="147"/>
      <c r="JY7" s="147"/>
      <c r="JZ7" s="147"/>
      <c r="KA7" s="147"/>
      <c r="KB7" s="147"/>
      <c r="KC7" s="147"/>
      <c r="KD7" s="147"/>
      <c r="KE7" s="147"/>
      <c r="KF7" s="147"/>
      <c r="KG7" s="147"/>
      <c r="KH7" s="147"/>
      <c r="KI7" s="147"/>
      <c r="KJ7" s="147"/>
    </row>
    <row r="8" spans="1:306">
      <c r="H8" s="153"/>
      <c r="I8" s="153"/>
      <c r="J8" s="248" t="s">
        <v>289</v>
      </c>
      <c r="K8" s="156"/>
      <c r="L8" s="155"/>
      <c r="M8" s="153"/>
      <c r="N8" s="156"/>
      <c r="O8" s="157"/>
      <c r="P8" s="157"/>
      <c r="Q8" s="157"/>
      <c r="R8" s="157"/>
      <c r="S8" s="157"/>
      <c r="T8" s="157"/>
      <c r="U8" s="157"/>
      <c r="V8" s="153"/>
      <c r="W8" s="153"/>
      <c r="X8" s="159"/>
      <c r="Y8" s="157"/>
      <c r="Z8" s="157"/>
      <c r="AA8" s="157"/>
      <c r="AB8" s="157"/>
      <c r="AC8" s="157"/>
      <c r="AD8" s="157"/>
      <c r="AE8" s="160"/>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249"/>
      <c r="BE8" s="250">
        <v>0</v>
      </c>
      <c r="BF8" s="250">
        <v>1</v>
      </c>
      <c r="BG8" s="250">
        <v>2</v>
      </c>
      <c r="BH8" s="250">
        <v>3</v>
      </c>
      <c r="BI8" s="250">
        <v>4</v>
      </c>
      <c r="BJ8" s="250">
        <v>5</v>
      </c>
      <c r="BK8" s="250">
        <v>6</v>
      </c>
      <c r="BL8" s="250">
        <v>7</v>
      </c>
      <c r="BM8" s="250">
        <v>8</v>
      </c>
      <c r="BN8" s="250">
        <v>9</v>
      </c>
      <c r="BO8" s="250">
        <v>10</v>
      </c>
      <c r="BP8" s="250">
        <v>11</v>
      </c>
      <c r="BQ8" s="250">
        <v>12</v>
      </c>
      <c r="BR8" s="250">
        <v>13</v>
      </c>
      <c r="BS8" s="250">
        <v>14</v>
      </c>
      <c r="BT8" s="250">
        <v>15</v>
      </c>
      <c r="BU8" s="250">
        <v>16</v>
      </c>
      <c r="BV8" s="250">
        <v>17</v>
      </c>
      <c r="BW8" s="250">
        <v>18</v>
      </c>
      <c r="BX8" s="250">
        <v>19</v>
      </c>
      <c r="BY8" s="250">
        <v>20</v>
      </c>
      <c r="BZ8" s="250">
        <v>21</v>
      </c>
      <c r="CA8" s="250">
        <v>22</v>
      </c>
      <c r="CB8" s="250">
        <v>23</v>
      </c>
      <c r="CC8" s="250">
        <v>0</v>
      </c>
      <c r="CD8" s="250">
        <v>1</v>
      </c>
      <c r="CE8" s="250">
        <v>2</v>
      </c>
      <c r="CF8" s="250">
        <v>3</v>
      </c>
      <c r="CG8" s="250">
        <v>4</v>
      </c>
      <c r="CH8" s="250">
        <v>5</v>
      </c>
      <c r="CI8" s="250">
        <v>6</v>
      </c>
      <c r="CJ8" s="250">
        <v>7</v>
      </c>
      <c r="CK8" s="250">
        <v>8</v>
      </c>
      <c r="CL8" s="250">
        <v>9</v>
      </c>
      <c r="CM8" s="250">
        <v>10</v>
      </c>
      <c r="CN8" s="250">
        <v>11</v>
      </c>
      <c r="CO8" s="250">
        <v>12</v>
      </c>
      <c r="CP8" s="250">
        <v>13</v>
      </c>
      <c r="CQ8" s="250">
        <v>14</v>
      </c>
      <c r="CR8" s="250">
        <v>15</v>
      </c>
      <c r="CS8" s="250">
        <v>16</v>
      </c>
      <c r="CT8" s="250">
        <v>17</v>
      </c>
      <c r="CU8" s="250">
        <v>18</v>
      </c>
      <c r="CV8" s="250">
        <v>19</v>
      </c>
      <c r="CW8" s="250">
        <v>20</v>
      </c>
      <c r="CX8" s="250">
        <v>21</v>
      </c>
      <c r="CY8" s="250">
        <v>22</v>
      </c>
      <c r="CZ8" s="250">
        <v>23</v>
      </c>
      <c r="DA8" s="250">
        <v>0</v>
      </c>
      <c r="DB8" s="250">
        <v>1</v>
      </c>
      <c r="DC8" s="250">
        <v>2</v>
      </c>
      <c r="DD8" s="250">
        <v>3</v>
      </c>
      <c r="DE8" s="250">
        <v>4</v>
      </c>
      <c r="DF8" s="250">
        <v>5</v>
      </c>
      <c r="DG8" s="250">
        <v>6</v>
      </c>
      <c r="DH8" s="250">
        <v>7</v>
      </c>
      <c r="DI8" s="250">
        <v>8</v>
      </c>
      <c r="DJ8" s="250">
        <v>9</v>
      </c>
      <c r="DK8" s="250">
        <v>10</v>
      </c>
      <c r="DL8" s="250">
        <v>11</v>
      </c>
      <c r="DM8" s="250">
        <v>12</v>
      </c>
      <c r="DN8" s="250">
        <v>13</v>
      </c>
      <c r="DO8" s="250">
        <v>14</v>
      </c>
      <c r="DP8" s="250">
        <v>15</v>
      </c>
      <c r="DQ8" s="250">
        <v>16</v>
      </c>
      <c r="DR8" s="250">
        <v>17</v>
      </c>
      <c r="DS8" s="250">
        <v>18</v>
      </c>
      <c r="DT8" s="250">
        <v>19</v>
      </c>
      <c r="DU8" s="250">
        <v>20</v>
      </c>
      <c r="DV8" s="250">
        <v>21</v>
      </c>
      <c r="DW8" s="250">
        <v>22</v>
      </c>
      <c r="DX8" s="250">
        <v>23</v>
      </c>
      <c r="DY8" s="250">
        <v>0</v>
      </c>
      <c r="DZ8" s="250">
        <v>1</v>
      </c>
      <c r="EA8" s="250">
        <v>2</v>
      </c>
      <c r="EB8" s="250">
        <v>3</v>
      </c>
      <c r="EC8" s="250">
        <v>4</v>
      </c>
      <c r="ED8" s="250">
        <v>5</v>
      </c>
      <c r="EE8" s="250">
        <v>6</v>
      </c>
      <c r="EF8" s="250">
        <v>7</v>
      </c>
      <c r="EG8" s="250">
        <v>8</v>
      </c>
      <c r="EH8" s="250">
        <v>9</v>
      </c>
      <c r="EI8" s="250">
        <v>10</v>
      </c>
      <c r="EJ8" s="250">
        <v>11</v>
      </c>
      <c r="EK8" s="250">
        <v>12</v>
      </c>
      <c r="EL8" s="250">
        <v>13</v>
      </c>
      <c r="EM8" s="250">
        <v>14</v>
      </c>
      <c r="EN8" s="250">
        <v>15</v>
      </c>
      <c r="EO8" s="250">
        <v>16</v>
      </c>
      <c r="EP8" s="250">
        <v>17</v>
      </c>
      <c r="EQ8" s="250">
        <v>18</v>
      </c>
      <c r="ER8" s="250">
        <v>19</v>
      </c>
      <c r="ES8" s="250">
        <v>20</v>
      </c>
      <c r="ET8" s="250">
        <v>21</v>
      </c>
      <c r="EU8" s="250">
        <v>22</v>
      </c>
      <c r="EV8" s="250">
        <v>23</v>
      </c>
      <c r="EW8" s="250">
        <v>0</v>
      </c>
      <c r="EX8" s="250">
        <v>1</v>
      </c>
      <c r="EY8" s="250">
        <v>2</v>
      </c>
      <c r="EZ8" s="250">
        <v>3</v>
      </c>
      <c r="FA8" s="250">
        <v>4</v>
      </c>
      <c r="FB8" s="250">
        <v>5</v>
      </c>
      <c r="FC8" s="250">
        <v>6</v>
      </c>
      <c r="FD8" s="250">
        <v>7</v>
      </c>
      <c r="FE8" s="250">
        <v>8</v>
      </c>
      <c r="FF8" s="250">
        <v>9</v>
      </c>
      <c r="FG8" s="250">
        <v>10</v>
      </c>
      <c r="FH8" s="250">
        <v>11</v>
      </c>
      <c r="FI8" s="250">
        <v>12</v>
      </c>
      <c r="FJ8" s="250">
        <v>13</v>
      </c>
      <c r="FK8" s="250">
        <v>14</v>
      </c>
      <c r="FL8" s="250">
        <v>15</v>
      </c>
      <c r="FM8" s="250">
        <v>16</v>
      </c>
      <c r="FN8" s="250">
        <v>17</v>
      </c>
      <c r="FO8" s="250">
        <v>18</v>
      </c>
      <c r="FP8" s="250">
        <v>19</v>
      </c>
      <c r="FQ8" s="250">
        <v>20</v>
      </c>
      <c r="FR8" s="250">
        <v>21</v>
      </c>
      <c r="FS8" s="250">
        <v>22</v>
      </c>
      <c r="FT8" s="250">
        <v>23</v>
      </c>
      <c r="FU8" s="250">
        <v>0</v>
      </c>
      <c r="FV8" s="250">
        <v>1</v>
      </c>
      <c r="FW8" s="250">
        <v>2</v>
      </c>
      <c r="FX8" s="250">
        <v>3</v>
      </c>
      <c r="FY8" s="250">
        <v>4</v>
      </c>
      <c r="FZ8" s="250">
        <v>5</v>
      </c>
      <c r="GA8" s="250">
        <v>6</v>
      </c>
      <c r="GB8" s="250">
        <v>7</v>
      </c>
      <c r="GC8" s="250">
        <v>8</v>
      </c>
      <c r="GD8" s="250">
        <v>9</v>
      </c>
      <c r="GE8" s="250">
        <v>10</v>
      </c>
      <c r="GF8" s="250">
        <v>11</v>
      </c>
      <c r="GG8" s="250">
        <v>12</v>
      </c>
      <c r="GH8" s="250">
        <v>13</v>
      </c>
      <c r="GI8" s="250">
        <v>14</v>
      </c>
      <c r="GJ8" s="250">
        <v>15</v>
      </c>
      <c r="GK8" s="250">
        <v>16</v>
      </c>
      <c r="GL8" s="250">
        <v>17</v>
      </c>
      <c r="GM8" s="250">
        <v>18</v>
      </c>
      <c r="GN8" s="250">
        <v>19</v>
      </c>
      <c r="GO8" s="250">
        <v>20</v>
      </c>
      <c r="GP8" s="250">
        <v>21</v>
      </c>
      <c r="GQ8" s="250">
        <v>22</v>
      </c>
      <c r="GR8" s="250">
        <v>23</v>
      </c>
      <c r="GS8" s="250">
        <v>0</v>
      </c>
      <c r="GT8" s="250">
        <v>1</v>
      </c>
      <c r="GU8" s="250">
        <v>2</v>
      </c>
      <c r="GV8" s="250">
        <v>3</v>
      </c>
      <c r="GW8" s="250">
        <v>4</v>
      </c>
      <c r="GX8" s="250">
        <v>5</v>
      </c>
      <c r="GY8" s="250">
        <v>6</v>
      </c>
      <c r="GZ8" s="250">
        <v>7</v>
      </c>
      <c r="HA8" s="250">
        <v>8</v>
      </c>
      <c r="HB8" s="250">
        <v>9</v>
      </c>
      <c r="HC8" s="250">
        <v>10</v>
      </c>
      <c r="HD8" s="250">
        <v>11</v>
      </c>
      <c r="HE8" s="250">
        <v>12</v>
      </c>
      <c r="HF8" s="250">
        <v>13</v>
      </c>
      <c r="HG8" s="250">
        <v>14</v>
      </c>
      <c r="HH8" s="250">
        <v>15</v>
      </c>
      <c r="HI8" s="250">
        <v>16</v>
      </c>
      <c r="HJ8" s="250">
        <v>17</v>
      </c>
      <c r="HK8" s="250">
        <v>18</v>
      </c>
      <c r="HL8" s="250">
        <v>19</v>
      </c>
      <c r="HM8" s="250">
        <v>20</v>
      </c>
      <c r="HN8" s="250">
        <v>21</v>
      </c>
      <c r="HO8" s="250">
        <v>22</v>
      </c>
      <c r="HP8" s="250">
        <v>23</v>
      </c>
      <c r="HQ8" s="250">
        <v>0</v>
      </c>
      <c r="HR8" s="250">
        <v>1</v>
      </c>
      <c r="HS8" s="250">
        <v>2</v>
      </c>
      <c r="HT8" s="250">
        <v>3</v>
      </c>
      <c r="HU8" s="250">
        <v>4</v>
      </c>
      <c r="HV8" s="250">
        <v>5</v>
      </c>
      <c r="HW8" s="250">
        <v>6</v>
      </c>
      <c r="HX8" s="250">
        <v>7</v>
      </c>
      <c r="HY8" s="250">
        <v>8</v>
      </c>
      <c r="HZ8" s="250">
        <v>9</v>
      </c>
      <c r="IA8" s="250">
        <v>10</v>
      </c>
      <c r="IB8" s="250">
        <v>11</v>
      </c>
      <c r="IC8" s="250">
        <v>12</v>
      </c>
      <c r="ID8" s="250">
        <v>13</v>
      </c>
      <c r="IE8" s="250">
        <v>14</v>
      </c>
      <c r="IF8" s="250">
        <v>15</v>
      </c>
      <c r="IG8" s="250">
        <v>16</v>
      </c>
      <c r="IH8" s="250">
        <v>17</v>
      </c>
      <c r="II8" s="250">
        <v>18</v>
      </c>
      <c r="IJ8" s="250">
        <v>19</v>
      </c>
      <c r="IK8" s="250">
        <v>20</v>
      </c>
      <c r="IL8" s="250">
        <v>21</v>
      </c>
      <c r="IM8" s="250">
        <v>22</v>
      </c>
      <c r="IN8" s="250">
        <v>23</v>
      </c>
      <c r="IO8" s="250">
        <v>0</v>
      </c>
      <c r="IP8" s="250">
        <v>1</v>
      </c>
      <c r="IQ8" s="250">
        <v>2</v>
      </c>
      <c r="IR8" s="250">
        <v>3</v>
      </c>
      <c r="IS8" s="250">
        <v>4</v>
      </c>
      <c r="IT8" s="250">
        <v>5</v>
      </c>
      <c r="IU8" s="250">
        <v>6</v>
      </c>
      <c r="IV8" s="250">
        <v>7</v>
      </c>
      <c r="IW8" s="250">
        <v>8</v>
      </c>
      <c r="IX8" s="250">
        <v>9</v>
      </c>
      <c r="IY8" s="250">
        <v>10</v>
      </c>
      <c r="IZ8" s="250">
        <v>11</v>
      </c>
      <c r="JA8" s="250">
        <v>12</v>
      </c>
      <c r="JB8" s="250">
        <v>13</v>
      </c>
      <c r="JC8" s="250">
        <v>14</v>
      </c>
      <c r="JD8" s="250">
        <v>15</v>
      </c>
      <c r="JE8" s="250">
        <v>16</v>
      </c>
      <c r="JF8" s="250">
        <v>17</v>
      </c>
      <c r="JG8" s="250">
        <v>18</v>
      </c>
      <c r="JH8" s="250">
        <v>19</v>
      </c>
      <c r="JI8" s="250">
        <v>20</v>
      </c>
      <c r="JJ8" s="250">
        <v>21</v>
      </c>
      <c r="JK8" s="250">
        <v>22</v>
      </c>
      <c r="JL8" s="250">
        <v>23</v>
      </c>
      <c r="JM8" s="250">
        <v>0</v>
      </c>
      <c r="JN8" s="250">
        <v>1</v>
      </c>
      <c r="JO8" s="250">
        <v>2</v>
      </c>
      <c r="JP8" s="250">
        <v>3</v>
      </c>
      <c r="JQ8" s="250">
        <v>4</v>
      </c>
      <c r="JR8" s="250">
        <v>5</v>
      </c>
      <c r="JS8" s="250">
        <v>6</v>
      </c>
      <c r="JT8" s="250">
        <v>7</v>
      </c>
      <c r="JU8" s="250">
        <v>8</v>
      </c>
      <c r="JV8" s="250">
        <v>9</v>
      </c>
      <c r="JW8" s="250">
        <v>10</v>
      </c>
      <c r="JX8" s="250">
        <v>11</v>
      </c>
      <c r="JY8" s="250">
        <v>12</v>
      </c>
      <c r="JZ8" s="250">
        <v>13</v>
      </c>
      <c r="KA8" s="250">
        <v>14</v>
      </c>
      <c r="KB8" s="250">
        <v>15</v>
      </c>
      <c r="KC8" s="250">
        <v>16</v>
      </c>
      <c r="KD8" s="250">
        <v>17</v>
      </c>
      <c r="KE8" s="250">
        <v>18</v>
      </c>
      <c r="KF8" s="250">
        <v>19</v>
      </c>
      <c r="KG8" s="250">
        <v>20</v>
      </c>
      <c r="KH8" s="250">
        <v>21</v>
      </c>
      <c r="KI8" s="250">
        <v>22</v>
      </c>
      <c r="KJ8" s="250">
        <v>23</v>
      </c>
      <c r="KK8" s="149"/>
    </row>
    <row r="9" spans="1:306" ht="24" customHeight="1">
      <c r="A9" s="134" t="s">
        <v>234</v>
      </c>
      <c r="B9" s="134" t="s">
        <v>226</v>
      </c>
      <c r="C9" s="134" t="s">
        <v>227</v>
      </c>
      <c r="D9" s="134" t="s">
        <v>228</v>
      </c>
      <c r="E9" s="134" t="s">
        <v>229</v>
      </c>
      <c r="F9" s="134" t="s">
        <v>230</v>
      </c>
      <c r="G9" s="134" t="s">
        <v>160</v>
      </c>
      <c r="H9" s="242"/>
      <c r="I9" s="242"/>
      <c r="J9" s="243" t="s">
        <v>27</v>
      </c>
      <c r="K9" s="242" t="s">
        <v>26</v>
      </c>
      <c r="L9" s="242" t="s">
        <v>137</v>
      </c>
      <c r="M9" s="242" t="s">
        <v>138</v>
      </c>
      <c r="N9" s="242" t="s">
        <v>225</v>
      </c>
      <c r="O9" s="242" t="s">
        <v>232</v>
      </c>
      <c r="P9" s="242" t="s">
        <v>264</v>
      </c>
      <c r="Q9" s="242" t="s">
        <v>265</v>
      </c>
      <c r="R9" s="242" t="s">
        <v>266</v>
      </c>
      <c r="S9" s="242" t="s">
        <v>267</v>
      </c>
      <c r="T9" s="242" t="s">
        <v>268</v>
      </c>
      <c r="U9" s="242" t="s">
        <v>269</v>
      </c>
      <c r="V9" s="242" t="s">
        <v>223</v>
      </c>
      <c r="W9" s="242" t="s">
        <v>233</v>
      </c>
      <c r="X9" s="244" t="s">
        <v>270</v>
      </c>
      <c r="Y9" s="242" t="s">
        <v>271</v>
      </c>
      <c r="Z9" s="242" t="s">
        <v>272</v>
      </c>
      <c r="AA9" s="242" t="s">
        <v>273</v>
      </c>
      <c r="AB9" s="242" t="s">
        <v>192</v>
      </c>
      <c r="AC9" s="242" t="s">
        <v>274</v>
      </c>
      <c r="AD9" s="242" t="s">
        <v>193</v>
      </c>
      <c r="AE9" s="245" t="s">
        <v>12</v>
      </c>
      <c r="AF9" s="242" t="s">
        <v>275</v>
      </c>
      <c r="AG9" s="242" t="s">
        <v>276</v>
      </c>
      <c r="AH9" s="242" t="s">
        <v>277</v>
      </c>
      <c r="AI9" s="242" t="s">
        <v>278</v>
      </c>
      <c r="AJ9" s="242" t="s">
        <v>172</v>
      </c>
      <c r="AK9" s="242" t="s">
        <v>173</v>
      </c>
      <c r="AL9" s="242" t="s">
        <v>174</v>
      </c>
      <c r="AM9" s="242" t="s">
        <v>175</v>
      </c>
      <c r="AN9" s="242" t="s">
        <v>176</v>
      </c>
      <c r="AO9" s="242" t="s">
        <v>177</v>
      </c>
      <c r="AP9" s="242" t="s">
        <v>178</v>
      </c>
      <c r="AQ9" s="242" t="s">
        <v>179</v>
      </c>
      <c r="AR9" s="242" t="s">
        <v>180</v>
      </c>
      <c r="AS9" s="242" t="s">
        <v>181</v>
      </c>
      <c r="AT9" s="242" t="s">
        <v>182</v>
      </c>
      <c r="AU9" s="242" t="s">
        <v>183</v>
      </c>
      <c r="AV9" s="242" t="s">
        <v>184</v>
      </c>
      <c r="AW9" s="242" t="s">
        <v>185</v>
      </c>
      <c r="AX9" s="242" t="s">
        <v>186</v>
      </c>
      <c r="AY9" s="242" t="s">
        <v>187</v>
      </c>
      <c r="AZ9" s="242" t="s">
        <v>188</v>
      </c>
      <c r="BA9" s="242" t="s">
        <v>189</v>
      </c>
      <c r="BB9" s="242" t="s">
        <v>190</v>
      </c>
      <c r="BC9" s="242" t="s">
        <v>191</v>
      </c>
      <c r="BD9" s="246"/>
      <c r="BE9" s="247" t="s">
        <v>331</v>
      </c>
      <c r="BF9" s="247" t="s">
        <v>332</v>
      </c>
      <c r="BG9" s="247" t="s">
        <v>333</v>
      </c>
      <c r="BH9" s="247" t="s">
        <v>334</v>
      </c>
      <c r="BI9" s="247" t="s">
        <v>335</v>
      </c>
      <c r="BJ9" s="247" t="s">
        <v>336</v>
      </c>
      <c r="BK9" s="247" t="s">
        <v>337</v>
      </c>
      <c r="BL9" s="247" t="s">
        <v>338</v>
      </c>
      <c r="BM9" s="247" t="s">
        <v>339</v>
      </c>
      <c r="BN9" s="247" t="s">
        <v>340</v>
      </c>
      <c r="BO9" s="247" t="s">
        <v>341</v>
      </c>
      <c r="BP9" s="247" t="s">
        <v>342</v>
      </c>
      <c r="BQ9" s="247" t="s">
        <v>343</v>
      </c>
      <c r="BR9" s="247" t="s">
        <v>344</v>
      </c>
      <c r="BS9" s="247" t="s">
        <v>345</v>
      </c>
      <c r="BT9" s="247" t="s">
        <v>346</v>
      </c>
      <c r="BU9" s="247" t="s">
        <v>347</v>
      </c>
      <c r="BV9" s="247" t="s">
        <v>348</v>
      </c>
      <c r="BW9" s="247" t="s">
        <v>349</v>
      </c>
      <c r="BX9" s="247" t="s">
        <v>350</v>
      </c>
      <c r="BY9" s="247" t="s">
        <v>351</v>
      </c>
      <c r="BZ9" s="247" t="s">
        <v>352</v>
      </c>
      <c r="CA9" s="247" t="s">
        <v>353</v>
      </c>
      <c r="CB9" s="247" t="s">
        <v>354</v>
      </c>
      <c r="CC9" s="247" t="s">
        <v>331</v>
      </c>
      <c r="CD9" s="247" t="s">
        <v>332</v>
      </c>
      <c r="CE9" s="247" t="s">
        <v>333</v>
      </c>
      <c r="CF9" s="247" t="s">
        <v>334</v>
      </c>
      <c r="CG9" s="247" t="s">
        <v>335</v>
      </c>
      <c r="CH9" s="247" t="s">
        <v>336</v>
      </c>
      <c r="CI9" s="247" t="s">
        <v>337</v>
      </c>
      <c r="CJ9" s="247" t="s">
        <v>338</v>
      </c>
      <c r="CK9" s="247" t="s">
        <v>339</v>
      </c>
      <c r="CL9" s="247" t="s">
        <v>340</v>
      </c>
      <c r="CM9" s="247" t="s">
        <v>341</v>
      </c>
      <c r="CN9" s="247" t="s">
        <v>342</v>
      </c>
      <c r="CO9" s="247" t="s">
        <v>343</v>
      </c>
      <c r="CP9" s="247" t="s">
        <v>344</v>
      </c>
      <c r="CQ9" s="247" t="s">
        <v>345</v>
      </c>
      <c r="CR9" s="247" t="s">
        <v>346</v>
      </c>
      <c r="CS9" s="247" t="s">
        <v>347</v>
      </c>
      <c r="CT9" s="247" t="s">
        <v>348</v>
      </c>
      <c r="CU9" s="247" t="s">
        <v>349</v>
      </c>
      <c r="CV9" s="247" t="s">
        <v>350</v>
      </c>
      <c r="CW9" s="247" t="s">
        <v>351</v>
      </c>
      <c r="CX9" s="247" t="s">
        <v>352</v>
      </c>
      <c r="CY9" s="247" t="s">
        <v>353</v>
      </c>
      <c r="CZ9" s="247" t="s">
        <v>354</v>
      </c>
      <c r="DA9" s="247" t="s">
        <v>331</v>
      </c>
      <c r="DB9" s="247" t="s">
        <v>332</v>
      </c>
      <c r="DC9" s="247" t="s">
        <v>333</v>
      </c>
      <c r="DD9" s="247" t="s">
        <v>334</v>
      </c>
      <c r="DE9" s="247" t="s">
        <v>335</v>
      </c>
      <c r="DF9" s="247" t="s">
        <v>336</v>
      </c>
      <c r="DG9" s="247" t="s">
        <v>337</v>
      </c>
      <c r="DH9" s="247" t="s">
        <v>338</v>
      </c>
      <c r="DI9" s="247" t="s">
        <v>339</v>
      </c>
      <c r="DJ9" s="247" t="s">
        <v>340</v>
      </c>
      <c r="DK9" s="247" t="s">
        <v>341</v>
      </c>
      <c r="DL9" s="247" t="s">
        <v>342</v>
      </c>
      <c r="DM9" s="247" t="s">
        <v>343</v>
      </c>
      <c r="DN9" s="247" t="s">
        <v>344</v>
      </c>
      <c r="DO9" s="247" t="s">
        <v>345</v>
      </c>
      <c r="DP9" s="247" t="s">
        <v>346</v>
      </c>
      <c r="DQ9" s="247" t="s">
        <v>347</v>
      </c>
      <c r="DR9" s="247" t="s">
        <v>348</v>
      </c>
      <c r="DS9" s="247" t="s">
        <v>349</v>
      </c>
      <c r="DT9" s="247" t="s">
        <v>350</v>
      </c>
      <c r="DU9" s="247" t="s">
        <v>351</v>
      </c>
      <c r="DV9" s="247" t="s">
        <v>352</v>
      </c>
      <c r="DW9" s="247" t="s">
        <v>353</v>
      </c>
      <c r="DX9" s="247" t="s">
        <v>354</v>
      </c>
      <c r="DY9" s="247" t="s">
        <v>331</v>
      </c>
      <c r="DZ9" s="247" t="s">
        <v>332</v>
      </c>
      <c r="EA9" s="247" t="s">
        <v>333</v>
      </c>
      <c r="EB9" s="247" t="s">
        <v>334</v>
      </c>
      <c r="EC9" s="247" t="s">
        <v>335</v>
      </c>
      <c r="ED9" s="247" t="s">
        <v>336</v>
      </c>
      <c r="EE9" s="247" t="s">
        <v>337</v>
      </c>
      <c r="EF9" s="247" t="s">
        <v>338</v>
      </c>
      <c r="EG9" s="247" t="s">
        <v>339</v>
      </c>
      <c r="EH9" s="247" t="s">
        <v>340</v>
      </c>
      <c r="EI9" s="247" t="s">
        <v>341</v>
      </c>
      <c r="EJ9" s="247" t="s">
        <v>342</v>
      </c>
      <c r="EK9" s="247" t="s">
        <v>343</v>
      </c>
      <c r="EL9" s="247" t="s">
        <v>344</v>
      </c>
      <c r="EM9" s="247" t="s">
        <v>345</v>
      </c>
      <c r="EN9" s="247" t="s">
        <v>346</v>
      </c>
      <c r="EO9" s="247" t="s">
        <v>347</v>
      </c>
      <c r="EP9" s="247" t="s">
        <v>348</v>
      </c>
      <c r="EQ9" s="247" t="s">
        <v>349</v>
      </c>
      <c r="ER9" s="247" t="s">
        <v>350</v>
      </c>
      <c r="ES9" s="247" t="s">
        <v>351</v>
      </c>
      <c r="ET9" s="247" t="s">
        <v>352</v>
      </c>
      <c r="EU9" s="247" t="s">
        <v>353</v>
      </c>
      <c r="EV9" s="247" t="s">
        <v>354</v>
      </c>
      <c r="EW9" s="247" t="s">
        <v>331</v>
      </c>
      <c r="EX9" s="247" t="s">
        <v>332</v>
      </c>
      <c r="EY9" s="247" t="s">
        <v>333</v>
      </c>
      <c r="EZ9" s="247" t="s">
        <v>334</v>
      </c>
      <c r="FA9" s="247" t="s">
        <v>335</v>
      </c>
      <c r="FB9" s="247" t="s">
        <v>336</v>
      </c>
      <c r="FC9" s="247" t="s">
        <v>337</v>
      </c>
      <c r="FD9" s="247" t="s">
        <v>338</v>
      </c>
      <c r="FE9" s="247" t="s">
        <v>339</v>
      </c>
      <c r="FF9" s="247" t="s">
        <v>340</v>
      </c>
      <c r="FG9" s="247" t="s">
        <v>341</v>
      </c>
      <c r="FH9" s="247" t="s">
        <v>342</v>
      </c>
      <c r="FI9" s="247" t="s">
        <v>343</v>
      </c>
      <c r="FJ9" s="247" t="s">
        <v>344</v>
      </c>
      <c r="FK9" s="247" t="s">
        <v>345</v>
      </c>
      <c r="FL9" s="247" t="s">
        <v>346</v>
      </c>
      <c r="FM9" s="247" t="s">
        <v>347</v>
      </c>
      <c r="FN9" s="247" t="s">
        <v>348</v>
      </c>
      <c r="FO9" s="247" t="s">
        <v>349</v>
      </c>
      <c r="FP9" s="247" t="s">
        <v>350</v>
      </c>
      <c r="FQ9" s="247" t="s">
        <v>351</v>
      </c>
      <c r="FR9" s="247" t="s">
        <v>352</v>
      </c>
      <c r="FS9" s="247" t="s">
        <v>353</v>
      </c>
      <c r="FT9" s="247" t="s">
        <v>354</v>
      </c>
      <c r="FU9" s="247" t="s">
        <v>331</v>
      </c>
      <c r="FV9" s="247" t="s">
        <v>332</v>
      </c>
      <c r="FW9" s="247" t="s">
        <v>333</v>
      </c>
      <c r="FX9" s="247" t="s">
        <v>334</v>
      </c>
      <c r="FY9" s="247" t="s">
        <v>335</v>
      </c>
      <c r="FZ9" s="247" t="s">
        <v>336</v>
      </c>
      <c r="GA9" s="247" t="s">
        <v>337</v>
      </c>
      <c r="GB9" s="247" t="s">
        <v>338</v>
      </c>
      <c r="GC9" s="247" t="s">
        <v>339</v>
      </c>
      <c r="GD9" s="247" t="s">
        <v>340</v>
      </c>
      <c r="GE9" s="247" t="s">
        <v>341</v>
      </c>
      <c r="GF9" s="247" t="s">
        <v>342</v>
      </c>
      <c r="GG9" s="247" t="s">
        <v>343</v>
      </c>
      <c r="GH9" s="247" t="s">
        <v>344</v>
      </c>
      <c r="GI9" s="247" t="s">
        <v>345</v>
      </c>
      <c r="GJ9" s="247" t="s">
        <v>346</v>
      </c>
      <c r="GK9" s="247" t="s">
        <v>347</v>
      </c>
      <c r="GL9" s="247" t="s">
        <v>348</v>
      </c>
      <c r="GM9" s="247" t="s">
        <v>349</v>
      </c>
      <c r="GN9" s="247" t="s">
        <v>350</v>
      </c>
      <c r="GO9" s="247" t="s">
        <v>351</v>
      </c>
      <c r="GP9" s="247" t="s">
        <v>352</v>
      </c>
      <c r="GQ9" s="247" t="s">
        <v>353</v>
      </c>
      <c r="GR9" s="247" t="s">
        <v>354</v>
      </c>
      <c r="GS9" s="247" t="s">
        <v>331</v>
      </c>
      <c r="GT9" s="247" t="s">
        <v>332</v>
      </c>
      <c r="GU9" s="247" t="s">
        <v>333</v>
      </c>
      <c r="GV9" s="247" t="s">
        <v>334</v>
      </c>
      <c r="GW9" s="247" t="s">
        <v>335</v>
      </c>
      <c r="GX9" s="247" t="s">
        <v>336</v>
      </c>
      <c r="GY9" s="247" t="s">
        <v>337</v>
      </c>
      <c r="GZ9" s="247" t="s">
        <v>338</v>
      </c>
      <c r="HA9" s="247" t="s">
        <v>339</v>
      </c>
      <c r="HB9" s="247" t="s">
        <v>340</v>
      </c>
      <c r="HC9" s="247" t="s">
        <v>341</v>
      </c>
      <c r="HD9" s="247" t="s">
        <v>342</v>
      </c>
      <c r="HE9" s="247" t="s">
        <v>343</v>
      </c>
      <c r="HF9" s="247" t="s">
        <v>344</v>
      </c>
      <c r="HG9" s="247" t="s">
        <v>345</v>
      </c>
      <c r="HH9" s="247" t="s">
        <v>346</v>
      </c>
      <c r="HI9" s="247" t="s">
        <v>347</v>
      </c>
      <c r="HJ9" s="247" t="s">
        <v>348</v>
      </c>
      <c r="HK9" s="247" t="s">
        <v>349</v>
      </c>
      <c r="HL9" s="247" t="s">
        <v>350</v>
      </c>
      <c r="HM9" s="247" t="s">
        <v>351</v>
      </c>
      <c r="HN9" s="247" t="s">
        <v>352</v>
      </c>
      <c r="HO9" s="247" t="s">
        <v>353</v>
      </c>
      <c r="HP9" s="247" t="s">
        <v>354</v>
      </c>
      <c r="HQ9" s="247" t="s">
        <v>331</v>
      </c>
      <c r="HR9" s="247" t="s">
        <v>332</v>
      </c>
      <c r="HS9" s="247" t="s">
        <v>333</v>
      </c>
      <c r="HT9" s="247" t="s">
        <v>334</v>
      </c>
      <c r="HU9" s="247" t="s">
        <v>335</v>
      </c>
      <c r="HV9" s="247" t="s">
        <v>336</v>
      </c>
      <c r="HW9" s="247" t="s">
        <v>337</v>
      </c>
      <c r="HX9" s="247" t="s">
        <v>338</v>
      </c>
      <c r="HY9" s="247" t="s">
        <v>339</v>
      </c>
      <c r="HZ9" s="247" t="s">
        <v>340</v>
      </c>
      <c r="IA9" s="247" t="s">
        <v>341</v>
      </c>
      <c r="IB9" s="247" t="s">
        <v>342</v>
      </c>
      <c r="IC9" s="247" t="s">
        <v>343</v>
      </c>
      <c r="ID9" s="247" t="s">
        <v>344</v>
      </c>
      <c r="IE9" s="247" t="s">
        <v>345</v>
      </c>
      <c r="IF9" s="247" t="s">
        <v>346</v>
      </c>
      <c r="IG9" s="247" t="s">
        <v>347</v>
      </c>
      <c r="IH9" s="247" t="s">
        <v>348</v>
      </c>
      <c r="II9" s="247" t="s">
        <v>349</v>
      </c>
      <c r="IJ9" s="247" t="s">
        <v>350</v>
      </c>
      <c r="IK9" s="247" t="s">
        <v>351</v>
      </c>
      <c r="IL9" s="247" t="s">
        <v>352</v>
      </c>
      <c r="IM9" s="247" t="s">
        <v>353</v>
      </c>
      <c r="IN9" s="247" t="s">
        <v>354</v>
      </c>
      <c r="IO9" s="247" t="s">
        <v>331</v>
      </c>
      <c r="IP9" s="247" t="s">
        <v>332</v>
      </c>
      <c r="IQ9" s="247" t="s">
        <v>333</v>
      </c>
      <c r="IR9" s="247" t="s">
        <v>334</v>
      </c>
      <c r="IS9" s="247" t="s">
        <v>335</v>
      </c>
      <c r="IT9" s="247" t="s">
        <v>336</v>
      </c>
      <c r="IU9" s="247" t="s">
        <v>337</v>
      </c>
      <c r="IV9" s="247" t="s">
        <v>338</v>
      </c>
      <c r="IW9" s="247" t="s">
        <v>339</v>
      </c>
      <c r="IX9" s="247" t="s">
        <v>340</v>
      </c>
      <c r="IY9" s="247" t="s">
        <v>341</v>
      </c>
      <c r="IZ9" s="247" t="s">
        <v>342</v>
      </c>
      <c r="JA9" s="247" t="s">
        <v>343</v>
      </c>
      <c r="JB9" s="247" t="s">
        <v>344</v>
      </c>
      <c r="JC9" s="247" t="s">
        <v>345</v>
      </c>
      <c r="JD9" s="247" t="s">
        <v>346</v>
      </c>
      <c r="JE9" s="247" t="s">
        <v>347</v>
      </c>
      <c r="JF9" s="247" t="s">
        <v>348</v>
      </c>
      <c r="JG9" s="247" t="s">
        <v>349</v>
      </c>
      <c r="JH9" s="247" t="s">
        <v>350</v>
      </c>
      <c r="JI9" s="247" t="s">
        <v>351</v>
      </c>
      <c r="JJ9" s="247" t="s">
        <v>352</v>
      </c>
      <c r="JK9" s="247" t="s">
        <v>353</v>
      </c>
      <c r="JL9" s="247" t="s">
        <v>354</v>
      </c>
      <c r="JM9" s="247" t="s">
        <v>331</v>
      </c>
      <c r="JN9" s="247" t="s">
        <v>332</v>
      </c>
      <c r="JO9" s="247" t="s">
        <v>333</v>
      </c>
      <c r="JP9" s="247" t="s">
        <v>334</v>
      </c>
      <c r="JQ9" s="247" t="s">
        <v>335</v>
      </c>
      <c r="JR9" s="247" t="s">
        <v>336</v>
      </c>
      <c r="JS9" s="247" t="s">
        <v>337</v>
      </c>
      <c r="JT9" s="247" t="s">
        <v>338</v>
      </c>
      <c r="JU9" s="247" t="s">
        <v>339</v>
      </c>
      <c r="JV9" s="247" t="s">
        <v>340</v>
      </c>
      <c r="JW9" s="247" t="s">
        <v>341</v>
      </c>
      <c r="JX9" s="247" t="s">
        <v>342</v>
      </c>
      <c r="JY9" s="247" t="s">
        <v>343</v>
      </c>
      <c r="JZ9" s="247" t="s">
        <v>344</v>
      </c>
      <c r="KA9" s="247" t="s">
        <v>345</v>
      </c>
      <c r="KB9" s="247" t="s">
        <v>346</v>
      </c>
      <c r="KC9" s="247" t="s">
        <v>347</v>
      </c>
      <c r="KD9" s="247" t="s">
        <v>348</v>
      </c>
      <c r="KE9" s="247" t="s">
        <v>349</v>
      </c>
      <c r="KF9" s="247" t="s">
        <v>350</v>
      </c>
      <c r="KG9" s="247" t="s">
        <v>351</v>
      </c>
      <c r="KH9" s="247" t="s">
        <v>352</v>
      </c>
      <c r="KI9" s="247" t="s">
        <v>353</v>
      </c>
      <c r="KJ9" s="247" t="s">
        <v>354</v>
      </c>
      <c r="KK9" s="76"/>
    </row>
    <row r="10" spans="1:306" s="177" customFormat="1" ht="18" customHeight="1">
      <c r="A10" s="134" t="s">
        <v>167</v>
      </c>
      <c r="B10" s="134">
        <v>4</v>
      </c>
      <c r="C10" s="134"/>
      <c r="D10" s="134"/>
      <c r="E10" s="134"/>
      <c r="F10" s="134"/>
      <c r="G10" s="134">
        <v>0</v>
      </c>
      <c r="H10" s="280"/>
      <c r="I10" s="281" t="s">
        <v>169</v>
      </c>
      <c r="J10" s="282" t="s">
        <v>288</v>
      </c>
      <c r="K10" s="283" t="s">
        <v>291</v>
      </c>
      <c r="L10" s="264" t="s">
        <v>168</v>
      </c>
      <c r="M10" s="284" t="s">
        <v>355</v>
      </c>
      <c r="N10" s="283" t="s">
        <v>318</v>
      </c>
      <c r="O10" s="285"/>
      <c r="P10" s="286"/>
      <c r="Q10" s="286"/>
      <c r="R10" s="287"/>
      <c r="S10" s="286">
        <v>44669.375</v>
      </c>
      <c r="T10" s="286">
        <v>44673.458333333336</v>
      </c>
      <c r="U10" s="287">
        <v>51</v>
      </c>
      <c r="V10" s="283"/>
      <c r="W10" s="266">
        <v>0</v>
      </c>
      <c r="X10" s="288">
        <v>0.93333333333333324</v>
      </c>
      <c r="Y10" s="286">
        <v>44670.833333333336</v>
      </c>
      <c r="Z10" s="286">
        <v>44671.5</v>
      </c>
      <c r="AA10" s="287">
        <v>3</v>
      </c>
      <c r="AB10" s="285"/>
      <c r="AC10" s="285"/>
      <c r="AD10" s="285"/>
      <c r="AE10" s="289"/>
      <c r="AF10" s="265"/>
      <c r="AG10" s="265"/>
      <c r="AH10" s="265"/>
      <c r="AI10" s="265"/>
      <c r="AJ10" s="265"/>
      <c r="AK10" s="265"/>
      <c r="AL10" s="265"/>
      <c r="AM10" s="265"/>
      <c r="AN10" s="265"/>
      <c r="AO10" s="265"/>
      <c r="AP10" s="265"/>
      <c r="AQ10" s="265"/>
      <c r="AR10" s="265"/>
      <c r="AS10" s="265"/>
      <c r="AT10" s="265"/>
      <c r="AU10" s="265"/>
      <c r="AV10" s="265"/>
      <c r="AW10" s="265"/>
      <c r="AX10" s="265"/>
      <c r="AY10" s="265"/>
      <c r="AZ10" s="265"/>
      <c r="BA10" s="265"/>
      <c r="BB10" s="265"/>
      <c r="BC10" s="265"/>
      <c r="BD10" s="267"/>
      <c r="BE10" s="268"/>
      <c r="BF10" s="268"/>
      <c r="BG10" s="268"/>
      <c r="BH10" s="268"/>
      <c r="BI10" s="268"/>
      <c r="BJ10" s="268"/>
      <c r="BK10" s="268"/>
      <c r="BL10" s="268"/>
      <c r="BM10" s="268"/>
      <c r="BN10" s="268"/>
      <c r="BO10" s="268"/>
      <c r="BP10" s="268"/>
      <c r="BQ10" s="268"/>
      <c r="BR10" s="268"/>
      <c r="BS10" s="268"/>
      <c r="BT10" s="268"/>
      <c r="BU10" s="268"/>
      <c r="BV10" s="268"/>
      <c r="BW10" s="268"/>
      <c r="BX10" s="268"/>
      <c r="BY10" s="268"/>
      <c r="BZ10" s="268"/>
      <c r="CA10" s="268"/>
      <c r="CB10" s="268"/>
      <c r="CC10" s="268"/>
      <c r="CD10" s="268"/>
      <c r="CE10" s="268"/>
      <c r="CF10" s="268"/>
      <c r="CG10" s="268"/>
      <c r="CH10" s="268"/>
      <c r="CI10" s="268"/>
      <c r="CJ10" s="268"/>
      <c r="CK10" s="268"/>
      <c r="CL10" s="268"/>
      <c r="CM10" s="268"/>
      <c r="CN10" s="268"/>
      <c r="CO10" s="268"/>
      <c r="CP10" s="268"/>
      <c r="CQ10" s="268"/>
      <c r="CR10" s="268"/>
      <c r="CS10" s="268"/>
      <c r="CT10" s="268"/>
      <c r="CU10" s="268"/>
      <c r="CV10" s="268"/>
      <c r="CW10" s="268"/>
      <c r="CX10" s="268"/>
      <c r="CY10" s="268"/>
      <c r="CZ10" s="268"/>
      <c r="DA10" s="268"/>
      <c r="DB10" s="268"/>
      <c r="DC10" s="268"/>
      <c r="DD10" s="268"/>
      <c r="DE10" s="268"/>
      <c r="DF10" s="268"/>
      <c r="DG10" s="268"/>
      <c r="DH10" s="268"/>
      <c r="DI10" s="268"/>
      <c r="DJ10" s="268"/>
      <c r="DK10" s="268"/>
      <c r="DL10" s="268"/>
      <c r="DM10" s="268"/>
      <c r="DN10" s="268"/>
      <c r="DO10" s="268"/>
      <c r="DP10" s="268"/>
      <c r="DQ10" s="268"/>
      <c r="DR10" s="268"/>
      <c r="DS10" s="268"/>
      <c r="DT10" s="268"/>
      <c r="DU10" s="268"/>
      <c r="DV10" s="268"/>
      <c r="DW10" s="268"/>
      <c r="DX10" s="268"/>
      <c r="DY10" s="268"/>
      <c r="DZ10" s="268"/>
      <c r="EA10" s="268"/>
      <c r="EB10" s="268"/>
      <c r="EC10" s="268"/>
      <c r="ED10" s="268"/>
      <c r="EE10" s="268"/>
      <c r="EF10" s="268"/>
      <c r="EG10" s="268"/>
      <c r="EH10" s="268"/>
      <c r="EI10" s="268"/>
      <c r="EJ10" s="268"/>
      <c r="EK10" s="268"/>
      <c r="EL10" s="268"/>
      <c r="EM10" s="268"/>
      <c r="EN10" s="268"/>
      <c r="EO10" s="268"/>
      <c r="EP10" s="268"/>
      <c r="EQ10" s="268"/>
      <c r="ER10" s="268"/>
      <c r="ES10" s="268"/>
      <c r="ET10" s="268"/>
      <c r="EU10" s="268"/>
      <c r="EV10" s="268"/>
      <c r="EW10" s="268"/>
      <c r="EX10" s="268"/>
      <c r="EY10" s="268"/>
      <c r="EZ10" s="268"/>
      <c r="FA10" s="268"/>
      <c r="FB10" s="268"/>
      <c r="FC10" s="268"/>
      <c r="FD10" s="268"/>
      <c r="FE10" s="268"/>
      <c r="FF10" s="268"/>
      <c r="FG10" s="268"/>
      <c r="FH10" s="268"/>
      <c r="FI10" s="268"/>
      <c r="FJ10" s="268"/>
      <c r="FK10" s="268"/>
      <c r="FL10" s="268"/>
      <c r="FM10" s="268"/>
      <c r="FN10" s="268"/>
      <c r="FO10" s="268"/>
      <c r="FP10" s="268"/>
      <c r="FQ10" s="268"/>
      <c r="FR10" s="268"/>
      <c r="FS10" s="268"/>
      <c r="FT10" s="268"/>
      <c r="FU10" s="268"/>
      <c r="FV10" s="268"/>
      <c r="FW10" s="268"/>
      <c r="FX10" s="268"/>
      <c r="FY10" s="268"/>
      <c r="FZ10" s="268"/>
      <c r="GA10" s="268"/>
      <c r="GB10" s="268"/>
      <c r="GC10" s="268"/>
      <c r="GD10" s="268"/>
      <c r="GE10" s="268"/>
      <c r="GF10" s="268"/>
      <c r="GG10" s="268"/>
      <c r="GH10" s="268"/>
      <c r="GI10" s="268"/>
      <c r="GJ10" s="268"/>
      <c r="GK10" s="268"/>
      <c r="GL10" s="268"/>
      <c r="GM10" s="268"/>
      <c r="GN10" s="268"/>
      <c r="GO10" s="268"/>
      <c r="GP10" s="268"/>
      <c r="GQ10" s="268"/>
      <c r="GR10" s="268"/>
      <c r="GS10" s="268"/>
      <c r="GT10" s="268"/>
      <c r="GU10" s="268"/>
      <c r="GV10" s="268"/>
      <c r="GW10" s="268"/>
      <c r="GX10" s="268"/>
      <c r="GY10" s="268"/>
      <c r="GZ10" s="268"/>
      <c r="HA10" s="268"/>
      <c r="HB10" s="268"/>
      <c r="HC10" s="268"/>
      <c r="HD10" s="268"/>
      <c r="HE10" s="268"/>
      <c r="HF10" s="268"/>
      <c r="HG10" s="268"/>
      <c r="HH10" s="268"/>
      <c r="HI10" s="268"/>
      <c r="HJ10" s="268"/>
      <c r="HK10" s="268"/>
      <c r="HL10" s="268"/>
      <c r="HM10" s="268"/>
      <c r="HN10" s="268"/>
      <c r="HO10" s="268"/>
      <c r="HP10" s="268"/>
      <c r="HQ10" s="268"/>
      <c r="HR10" s="268"/>
      <c r="HS10" s="268"/>
      <c r="HT10" s="268"/>
      <c r="HU10" s="268"/>
      <c r="HV10" s="268"/>
      <c r="HW10" s="268"/>
      <c r="HX10" s="268"/>
      <c r="HY10" s="268"/>
      <c r="HZ10" s="268"/>
      <c r="IA10" s="268"/>
      <c r="IB10" s="268"/>
      <c r="IC10" s="268"/>
      <c r="ID10" s="268"/>
      <c r="IE10" s="268"/>
      <c r="IF10" s="268"/>
      <c r="IG10" s="268"/>
      <c r="IH10" s="268"/>
      <c r="II10" s="268"/>
      <c r="IJ10" s="268"/>
      <c r="IK10" s="268"/>
      <c r="IL10" s="268"/>
      <c r="IM10" s="268"/>
      <c r="IN10" s="268"/>
      <c r="IO10" s="268"/>
      <c r="IP10" s="268"/>
      <c r="IQ10" s="268"/>
      <c r="IR10" s="268"/>
      <c r="IS10" s="268"/>
      <c r="IT10" s="268"/>
      <c r="IU10" s="268"/>
      <c r="IV10" s="268"/>
      <c r="IW10" s="268"/>
      <c r="IX10" s="268"/>
      <c r="IY10" s="268"/>
      <c r="IZ10" s="268"/>
      <c r="JA10" s="268"/>
      <c r="JB10" s="268"/>
      <c r="JC10" s="268"/>
      <c r="JD10" s="268"/>
      <c r="JE10" s="268"/>
      <c r="JF10" s="268"/>
      <c r="JG10" s="268"/>
      <c r="JH10" s="268"/>
      <c r="JI10" s="268"/>
      <c r="JJ10" s="268"/>
      <c r="JK10" s="268"/>
      <c r="JL10" s="268"/>
      <c r="JM10" s="268"/>
      <c r="JN10" s="268"/>
      <c r="JO10" s="268"/>
      <c r="JP10" s="268"/>
      <c r="JQ10" s="268"/>
      <c r="JR10" s="268"/>
      <c r="JS10" s="268"/>
      <c r="JT10" s="268"/>
      <c r="JU10" s="268"/>
      <c r="JV10" s="268"/>
      <c r="JW10" s="268"/>
      <c r="JX10" s="268"/>
      <c r="JY10" s="268"/>
      <c r="JZ10" s="268"/>
      <c r="KA10" s="268"/>
      <c r="KB10" s="268"/>
      <c r="KC10" s="268"/>
      <c r="KD10" s="268"/>
      <c r="KE10" s="268"/>
      <c r="KF10" s="268"/>
      <c r="KG10" s="268"/>
      <c r="KH10" s="268"/>
      <c r="KI10" s="268"/>
      <c r="KJ10" s="268"/>
      <c r="KK10" s="76"/>
      <c r="KL10"/>
      <c r="KM10"/>
      <c r="KN10"/>
      <c r="KO10"/>
      <c r="KP10"/>
      <c r="KQ10"/>
      <c r="KR10"/>
      <c r="KS10"/>
      <c r="KT10"/>
    </row>
    <row r="11" spans="1:306" s="172" customFormat="1" ht="18" customHeight="1">
      <c r="A11" s="153" t="s">
        <v>167</v>
      </c>
      <c r="B11" s="153">
        <v>2</v>
      </c>
      <c r="C11" s="153"/>
      <c r="D11" s="153"/>
      <c r="E11" s="153"/>
      <c r="F11" s="153"/>
      <c r="G11" s="153">
        <v>1</v>
      </c>
      <c r="H11" s="173"/>
      <c r="I11" s="175" t="s">
        <v>169</v>
      </c>
      <c r="J11" s="161" t="s">
        <v>293</v>
      </c>
      <c r="K11" s="178" t="s">
        <v>292</v>
      </c>
      <c r="L11" s="163" t="s">
        <v>168</v>
      </c>
      <c r="M11" s="164" t="s">
        <v>56</v>
      </c>
      <c r="N11" s="162"/>
      <c r="O11" s="165"/>
      <c r="P11" s="166"/>
      <c r="Q11" s="166"/>
      <c r="R11" s="167"/>
      <c r="S11" s="166">
        <v>44669.375</v>
      </c>
      <c r="T11" s="166">
        <v>44669.583333333336</v>
      </c>
      <c r="U11" s="176">
        <v>5</v>
      </c>
      <c r="V11" s="162"/>
      <c r="W11" s="168">
        <v>100</v>
      </c>
      <c r="X11" s="169">
        <v>1</v>
      </c>
      <c r="Y11" s="166"/>
      <c r="Z11" s="166"/>
      <c r="AA11" s="167"/>
      <c r="AB11" s="165"/>
      <c r="AC11" s="165"/>
      <c r="AD11" s="165"/>
      <c r="AE11" s="170"/>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71"/>
      <c r="BE11" s="174"/>
      <c r="BF11" s="174"/>
      <c r="BG11" s="174"/>
      <c r="BH11" s="174"/>
      <c r="BI11" s="174"/>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174"/>
      <c r="CK11" s="174"/>
      <c r="CL11" s="174"/>
      <c r="CM11" s="174"/>
      <c r="CN11" s="174"/>
      <c r="CO11" s="174"/>
      <c r="CP11" s="174"/>
      <c r="CQ11" s="174"/>
      <c r="CR11" s="174"/>
      <c r="CS11" s="174"/>
      <c r="CT11" s="174"/>
      <c r="CU11" s="174"/>
      <c r="CV11" s="174"/>
      <c r="CW11" s="174"/>
      <c r="CX11" s="174"/>
      <c r="CY11" s="174"/>
      <c r="CZ11" s="174"/>
      <c r="DA11" s="174"/>
      <c r="DB11" s="174"/>
      <c r="DC11" s="174"/>
      <c r="DD11" s="174"/>
      <c r="DE11" s="174"/>
      <c r="DF11" s="174"/>
      <c r="DG11" s="174"/>
      <c r="DH11" s="174"/>
      <c r="DI11" s="174"/>
      <c r="DJ11" s="174"/>
      <c r="DK11" s="174"/>
      <c r="DL11" s="174"/>
      <c r="DM11" s="174"/>
      <c r="DN11" s="174"/>
      <c r="DO11" s="174"/>
      <c r="DP11" s="174"/>
      <c r="DQ11" s="174"/>
      <c r="DR11" s="174"/>
      <c r="DS11" s="174"/>
      <c r="DT11" s="174"/>
      <c r="DU11" s="174"/>
      <c r="DV11" s="174"/>
      <c r="DW11" s="174"/>
      <c r="DX11" s="174"/>
      <c r="DY11" s="174"/>
      <c r="DZ11" s="174"/>
      <c r="EA11" s="174"/>
      <c r="EB11" s="174"/>
      <c r="EC11" s="174"/>
      <c r="ED11" s="174"/>
      <c r="EE11" s="174"/>
      <c r="EF11" s="174"/>
      <c r="EG11" s="174"/>
      <c r="EH11" s="174"/>
      <c r="EI11" s="174"/>
      <c r="EJ11" s="174"/>
      <c r="EK11" s="174"/>
      <c r="EL11" s="174"/>
      <c r="EM11" s="174"/>
      <c r="EN11" s="174"/>
      <c r="EO11" s="174"/>
      <c r="EP11" s="174"/>
      <c r="EQ11" s="174"/>
      <c r="ER11" s="174"/>
      <c r="ES11" s="174"/>
      <c r="ET11" s="174"/>
      <c r="EU11" s="174"/>
      <c r="EV11" s="174"/>
      <c r="EW11" s="174"/>
      <c r="EX11" s="174"/>
      <c r="EY11" s="174"/>
      <c r="EZ11" s="174"/>
      <c r="FA11" s="174"/>
      <c r="FB11" s="174"/>
      <c r="FC11" s="174"/>
      <c r="FD11" s="174"/>
      <c r="FE11" s="174"/>
      <c r="FF11" s="174"/>
      <c r="FG11" s="174"/>
      <c r="FH11" s="174"/>
      <c r="FI11" s="174"/>
      <c r="FJ11" s="174"/>
      <c r="FK11" s="174"/>
      <c r="FL11" s="174"/>
      <c r="FM11" s="174"/>
      <c r="FN11" s="174"/>
      <c r="FO11" s="174"/>
      <c r="FP11" s="174"/>
      <c r="FQ11" s="174"/>
      <c r="FR11" s="174"/>
      <c r="FS11" s="174"/>
      <c r="FT11" s="174"/>
      <c r="FU11" s="174"/>
      <c r="FV11" s="174"/>
      <c r="FW11" s="174"/>
      <c r="FX11" s="174"/>
      <c r="FY11" s="174"/>
      <c r="FZ11" s="174"/>
      <c r="GA11" s="174"/>
      <c r="GB11" s="174"/>
      <c r="GC11" s="174"/>
      <c r="GD11" s="174"/>
      <c r="GE11" s="174"/>
      <c r="GF11" s="174"/>
      <c r="GG11" s="174"/>
      <c r="GH11" s="174"/>
      <c r="GI11" s="174"/>
      <c r="GJ11" s="174"/>
      <c r="GK11" s="174"/>
      <c r="GL11" s="174"/>
      <c r="GM11" s="174"/>
      <c r="GN11" s="174"/>
      <c r="GO11" s="174"/>
      <c r="GP11" s="174"/>
      <c r="GQ11" s="174"/>
      <c r="GR11" s="174"/>
      <c r="GS11" s="174"/>
      <c r="GT11" s="174"/>
      <c r="GU11" s="174"/>
      <c r="GV11" s="174"/>
      <c r="GW11" s="174"/>
      <c r="GX11" s="174"/>
      <c r="GY11" s="174"/>
      <c r="GZ11" s="174"/>
      <c r="HA11" s="174"/>
      <c r="HB11" s="174"/>
      <c r="HC11" s="174"/>
      <c r="HD11" s="174"/>
      <c r="HE11" s="174"/>
      <c r="HF11" s="174"/>
      <c r="HG11" s="174"/>
      <c r="HH11" s="174"/>
      <c r="HI11" s="174"/>
      <c r="HJ11" s="174"/>
      <c r="HK11" s="174"/>
      <c r="HL11" s="174"/>
      <c r="HM11" s="174"/>
      <c r="HN11" s="174"/>
      <c r="HO11" s="174"/>
      <c r="HP11" s="174"/>
      <c r="HQ11" s="174"/>
      <c r="HR11" s="174"/>
      <c r="HS11" s="174"/>
      <c r="HT11" s="174"/>
      <c r="HU11" s="174"/>
      <c r="HV11" s="174"/>
      <c r="HW11" s="174"/>
      <c r="HX11" s="174"/>
      <c r="HY11" s="174"/>
      <c r="HZ11" s="174"/>
      <c r="IA11" s="174"/>
      <c r="IB11" s="174"/>
      <c r="IC11" s="174"/>
      <c r="ID11" s="174"/>
      <c r="IE11" s="174"/>
      <c r="IF11" s="174"/>
      <c r="IG11" s="174"/>
      <c r="IH11" s="174"/>
      <c r="II11" s="174"/>
      <c r="IJ11" s="174"/>
      <c r="IK11" s="174"/>
      <c r="IL11" s="174"/>
      <c r="IM11" s="174"/>
      <c r="IN11" s="174"/>
      <c r="IO11" s="174"/>
      <c r="IP11" s="174"/>
      <c r="IQ11" s="174"/>
      <c r="IR11" s="174"/>
      <c r="IS11" s="174"/>
      <c r="IT11" s="174"/>
      <c r="IU11" s="174"/>
      <c r="IV11" s="174"/>
      <c r="IW11" s="174"/>
      <c r="IX11" s="174"/>
      <c r="IY11" s="174"/>
      <c r="IZ11" s="174"/>
      <c r="JA11" s="174"/>
      <c r="JB11" s="174"/>
      <c r="JC11" s="174"/>
      <c r="JD11" s="174"/>
      <c r="JE11" s="174"/>
      <c r="JF11" s="174"/>
      <c r="JG11" s="174"/>
      <c r="JH11" s="174"/>
      <c r="JI11" s="174"/>
      <c r="JJ11" s="174"/>
      <c r="JK11" s="174"/>
      <c r="JL11" s="174"/>
      <c r="JM11" s="174"/>
      <c r="JN11" s="174"/>
      <c r="JO11" s="174"/>
      <c r="JP11" s="174"/>
      <c r="JQ11" s="174"/>
      <c r="JR11" s="174"/>
      <c r="JS11" s="174"/>
      <c r="JT11" s="174"/>
      <c r="JU11" s="174"/>
      <c r="JV11" s="174"/>
      <c r="JW11" s="174"/>
      <c r="JX11" s="174"/>
      <c r="JY11" s="174"/>
      <c r="JZ11" s="174"/>
      <c r="KA11" s="174"/>
      <c r="KB11" s="174"/>
      <c r="KC11" s="174"/>
      <c r="KD11" s="174"/>
      <c r="KE11" s="174"/>
      <c r="KF11" s="174"/>
      <c r="KG11" s="174"/>
      <c r="KH11" s="174"/>
      <c r="KI11" s="174"/>
      <c r="KJ11" s="174"/>
      <c r="KK11" s="76"/>
      <c r="KL11"/>
      <c r="KM11"/>
      <c r="KN11"/>
      <c r="KO11"/>
      <c r="KP11"/>
      <c r="KQ11"/>
      <c r="KR11"/>
      <c r="KS11"/>
      <c r="KT11"/>
    </row>
    <row r="12" spans="1:306" s="172" customFormat="1" ht="18" customHeight="1">
      <c r="A12" s="153" t="s">
        <v>167</v>
      </c>
      <c r="B12" s="153">
        <v>3</v>
      </c>
      <c r="C12" s="153"/>
      <c r="D12" s="153"/>
      <c r="E12" s="153"/>
      <c r="F12" s="153"/>
      <c r="G12" s="153">
        <v>1</v>
      </c>
      <c r="H12" s="173"/>
      <c r="I12" s="175" t="s">
        <v>169</v>
      </c>
      <c r="J12" s="161" t="s">
        <v>294</v>
      </c>
      <c r="K12" s="178" t="s">
        <v>295</v>
      </c>
      <c r="L12" s="163" t="s">
        <v>168</v>
      </c>
      <c r="M12" s="164" t="s">
        <v>56</v>
      </c>
      <c r="N12" s="162"/>
      <c r="O12" s="165"/>
      <c r="P12" s="166"/>
      <c r="Q12" s="166"/>
      <c r="R12" s="167"/>
      <c r="S12" s="166">
        <v>44669.583333333336</v>
      </c>
      <c r="T12" s="166">
        <v>44671.583333333336</v>
      </c>
      <c r="U12" s="176">
        <v>18</v>
      </c>
      <c r="V12" s="162"/>
      <c r="W12" s="168">
        <v>100</v>
      </c>
      <c r="X12" s="169">
        <v>1</v>
      </c>
      <c r="Y12" s="166">
        <v>44670.833333333336</v>
      </c>
      <c r="Z12" s="166">
        <v>44671.5</v>
      </c>
      <c r="AA12" s="167">
        <v>3</v>
      </c>
      <c r="AB12" s="165"/>
      <c r="AC12" s="165"/>
      <c r="AD12" s="165"/>
      <c r="AE12" s="170"/>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71"/>
      <c r="BE12" s="174"/>
      <c r="BF12" s="174"/>
      <c r="BG12" s="174"/>
      <c r="BH12" s="174"/>
      <c r="BI12" s="174"/>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74"/>
      <c r="CQ12" s="174"/>
      <c r="CR12" s="174"/>
      <c r="CS12" s="174"/>
      <c r="CT12" s="174"/>
      <c r="CU12" s="174"/>
      <c r="CV12" s="174"/>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c r="DZ12" s="174"/>
      <c r="EA12" s="174"/>
      <c r="EB12" s="174"/>
      <c r="EC12" s="174"/>
      <c r="ED12" s="174"/>
      <c r="EE12" s="174"/>
      <c r="EF12" s="174"/>
      <c r="EG12" s="174"/>
      <c r="EH12" s="174"/>
      <c r="EI12" s="174"/>
      <c r="EJ12" s="174"/>
      <c r="EK12" s="174"/>
      <c r="EL12" s="174"/>
      <c r="EM12" s="174"/>
      <c r="EN12" s="174"/>
      <c r="EO12" s="174"/>
      <c r="EP12" s="174"/>
      <c r="EQ12" s="174"/>
      <c r="ER12" s="174"/>
      <c r="ES12" s="174"/>
      <c r="ET12" s="174"/>
      <c r="EU12" s="174"/>
      <c r="EV12" s="174"/>
      <c r="EW12" s="174"/>
      <c r="EX12" s="174"/>
      <c r="EY12" s="174"/>
      <c r="EZ12" s="174"/>
      <c r="FA12" s="174"/>
      <c r="FB12" s="174"/>
      <c r="FC12" s="174"/>
      <c r="FD12" s="174"/>
      <c r="FE12" s="174"/>
      <c r="FF12" s="174"/>
      <c r="FG12" s="174"/>
      <c r="FH12" s="174"/>
      <c r="FI12" s="174"/>
      <c r="FJ12" s="174"/>
      <c r="FK12" s="174"/>
      <c r="FL12" s="174"/>
      <c r="FM12" s="174"/>
      <c r="FN12" s="174"/>
      <c r="FO12" s="174"/>
      <c r="FP12" s="174"/>
      <c r="FQ12" s="174"/>
      <c r="FR12" s="174"/>
      <c r="FS12" s="174"/>
      <c r="FT12" s="174"/>
      <c r="FU12" s="174"/>
      <c r="FV12" s="174"/>
      <c r="FW12" s="174"/>
      <c r="FX12" s="174"/>
      <c r="FY12" s="174"/>
      <c r="FZ12" s="174"/>
      <c r="GA12" s="174"/>
      <c r="GB12" s="174"/>
      <c r="GC12" s="174"/>
      <c r="GD12" s="174"/>
      <c r="GE12" s="174"/>
      <c r="GF12" s="174"/>
      <c r="GG12" s="174"/>
      <c r="GH12" s="174"/>
      <c r="GI12" s="174"/>
      <c r="GJ12" s="174"/>
      <c r="GK12" s="174"/>
      <c r="GL12" s="174"/>
      <c r="GM12" s="174"/>
      <c r="GN12" s="174"/>
      <c r="GO12" s="174"/>
      <c r="GP12" s="174"/>
      <c r="GQ12" s="174"/>
      <c r="GR12" s="174"/>
      <c r="GS12" s="174"/>
      <c r="GT12" s="174"/>
      <c r="GU12" s="174"/>
      <c r="GV12" s="174"/>
      <c r="GW12" s="174"/>
      <c r="GX12" s="174"/>
      <c r="GY12" s="174"/>
      <c r="GZ12" s="174"/>
      <c r="HA12" s="174"/>
      <c r="HB12" s="174"/>
      <c r="HC12" s="174"/>
      <c r="HD12" s="174"/>
      <c r="HE12" s="174"/>
      <c r="HF12" s="174"/>
      <c r="HG12" s="174"/>
      <c r="HH12" s="174"/>
      <c r="HI12" s="174"/>
      <c r="HJ12" s="174"/>
      <c r="HK12" s="174"/>
      <c r="HL12" s="174"/>
      <c r="HM12" s="174"/>
      <c r="HN12" s="174"/>
      <c r="HO12" s="174"/>
      <c r="HP12" s="174"/>
      <c r="HQ12" s="174"/>
      <c r="HR12" s="174"/>
      <c r="HS12" s="174"/>
      <c r="HT12" s="174"/>
      <c r="HU12" s="174"/>
      <c r="HV12" s="174"/>
      <c r="HW12" s="174"/>
      <c r="HX12" s="174"/>
      <c r="HY12" s="174"/>
      <c r="HZ12" s="174"/>
      <c r="IA12" s="174"/>
      <c r="IB12" s="174"/>
      <c r="IC12" s="174"/>
      <c r="ID12" s="174"/>
      <c r="IE12" s="174"/>
      <c r="IF12" s="174"/>
      <c r="IG12" s="174"/>
      <c r="IH12" s="174"/>
      <c r="II12" s="174"/>
      <c r="IJ12" s="174"/>
      <c r="IK12" s="174"/>
      <c r="IL12" s="174"/>
      <c r="IM12" s="174"/>
      <c r="IN12" s="174"/>
      <c r="IO12" s="174"/>
      <c r="IP12" s="174"/>
      <c r="IQ12" s="174"/>
      <c r="IR12" s="174"/>
      <c r="IS12" s="174"/>
      <c r="IT12" s="174"/>
      <c r="IU12" s="174"/>
      <c r="IV12" s="174"/>
      <c r="IW12" s="174"/>
      <c r="IX12" s="174"/>
      <c r="IY12" s="174"/>
      <c r="IZ12" s="174"/>
      <c r="JA12" s="174"/>
      <c r="JB12" s="174"/>
      <c r="JC12" s="174"/>
      <c r="JD12" s="174"/>
      <c r="JE12" s="174"/>
      <c r="JF12" s="174"/>
      <c r="JG12" s="174"/>
      <c r="JH12" s="174"/>
      <c r="JI12" s="174"/>
      <c r="JJ12" s="174"/>
      <c r="JK12" s="174"/>
      <c r="JL12" s="174"/>
      <c r="JM12" s="174"/>
      <c r="JN12" s="174"/>
      <c r="JO12" s="174"/>
      <c r="JP12" s="174"/>
      <c r="JQ12" s="174"/>
      <c r="JR12" s="174"/>
      <c r="JS12" s="174"/>
      <c r="JT12" s="174"/>
      <c r="JU12" s="174"/>
      <c r="JV12" s="174"/>
      <c r="JW12" s="174"/>
      <c r="JX12" s="174"/>
      <c r="JY12" s="174"/>
      <c r="JZ12" s="174"/>
      <c r="KA12" s="174"/>
      <c r="KB12" s="174"/>
      <c r="KC12" s="174"/>
      <c r="KD12" s="174"/>
      <c r="KE12" s="174"/>
      <c r="KF12" s="174"/>
      <c r="KG12" s="174"/>
      <c r="KH12" s="174"/>
      <c r="KI12" s="174"/>
      <c r="KJ12" s="174"/>
      <c r="KK12" s="76"/>
      <c r="KL12"/>
      <c r="KM12"/>
      <c r="KN12"/>
      <c r="KO12"/>
      <c r="KP12"/>
      <c r="KQ12"/>
      <c r="KR12"/>
      <c r="KS12"/>
      <c r="KT12"/>
    </row>
    <row r="13" spans="1:306" s="172" customFormat="1" ht="18" customHeight="1">
      <c r="A13" s="153" t="s">
        <v>167</v>
      </c>
      <c r="B13" s="153">
        <v>5</v>
      </c>
      <c r="C13" s="153"/>
      <c r="D13" s="153"/>
      <c r="E13" s="153"/>
      <c r="F13" s="153"/>
      <c r="G13" s="153">
        <v>1</v>
      </c>
      <c r="H13" s="290"/>
      <c r="I13" s="291" t="s">
        <v>169</v>
      </c>
      <c r="J13" s="292" t="s">
        <v>297</v>
      </c>
      <c r="K13" s="293" t="s">
        <v>296</v>
      </c>
      <c r="L13" s="294" t="s">
        <v>168</v>
      </c>
      <c r="M13" s="295" t="s">
        <v>56</v>
      </c>
      <c r="N13" s="296"/>
      <c r="O13" s="297"/>
      <c r="P13" s="298"/>
      <c r="Q13" s="298"/>
      <c r="R13" s="299"/>
      <c r="S13" s="298">
        <v>44669.583333333336</v>
      </c>
      <c r="T13" s="298">
        <v>44671.583333333336</v>
      </c>
      <c r="U13" s="300">
        <v>18</v>
      </c>
      <c r="V13" s="296"/>
      <c r="W13" s="301">
        <v>100</v>
      </c>
      <c r="X13" s="302">
        <v>1</v>
      </c>
      <c r="Y13" s="298"/>
      <c r="Z13" s="298"/>
      <c r="AA13" s="299"/>
      <c r="AB13" s="297"/>
      <c r="AC13" s="297"/>
      <c r="AD13" s="297"/>
      <c r="AE13" s="303"/>
      <c r="AF13" s="296"/>
      <c r="AG13" s="296"/>
      <c r="AH13" s="296"/>
      <c r="AI13" s="296"/>
      <c r="AJ13" s="296"/>
      <c r="AK13" s="296"/>
      <c r="AL13" s="296"/>
      <c r="AM13" s="296"/>
      <c r="AN13" s="296"/>
      <c r="AO13" s="296"/>
      <c r="AP13" s="296"/>
      <c r="AQ13" s="296"/>
      <c r="AR13" s="296"/>
      <c r="AS13" s="296"/>
      <c r="AT13" s="296"/>
      <c r="AU13" s="296"/>
      <c r="AV13" s="296"/>
      <c r="AW13" s="296"/>
      <c r="AX13" s="296"/>
      <c r="AY13" s="296"/>
      <c r="AZ13" s="296"/>
      <c r="BA13" s="296"/>
      <c r="BB13" s="296"/>
      <c r="BC13" s="296"/>
      <c r="BD13" s="304"/>
      <c r="BE13" s="305"/>
      <c r="BF13" s="305"/>
      <c r="BG13" s="305"/>
      <c r="BH13" s="305"/>
      <c r="BI13" s="305"/>
      <c r="BJ13" s="305"/>
      <c r="BK13" s="305"/>
      <c r="BL13" s="305"/>
      <c r="BM13" s="305"/>
      <c r="BN13" s="305"/>
      <c r="BO13" s="305"/>
      <c r="BP13" s="305"/>
      <c r="BQ13" s="305"/>
      <c r="BR13" s="305"/>
      <c r="BS13" s="305"/>
      <c r="BT13" s="305"/>
      <c r="BU13" s="305"/>
      <c r="BV13" s="305"/>
      <c r="BW13" s="305"/>
      <c r="BX13" s="305"/>
      <c r="BY13" s="305"/>
      <c r="BZ13" s="305"/>
      <c r="CA13" s="305"/>
      <c r="CB13" s="305"/>
      <c r="CC13" s="305"/>
      <c r="CD13" s="305"/>
      <c r="CE13" s="305"/>
      <c r="CF13" s="305"/>
      <c r="CG13" s="305"/>
      <c r="CH13" s="305"/>
      <c r="CI13" s="305"/>
      <c r="CJ13" s="305"/>
      <c r="CK13" s="305"/>
      <c r="CL13" s="305"/>
      <c r="CM13" s="305"/>
      <c r="CN13" s="305"/>
      <c r="CO13" s="305"/>
      <c r="CP13" s="305"/>
      <c r="CQ13" s="305"/>
      <c r="CR13" s="305"/>
      <c r="CS13" s="305"/>
      <c r="CT13" s="305"/>
      <c r="CU13" s="305"/>
      <c r="CV13" s="305"/>
      <c r="CW13" s="305"/>
      <c r="CX13" s="305"/>
      <c r="CY13" s="305"/>
      <c r="CZ13" s="305"/>
      <c r="DA13" s="305"/>
      <c r="DB13" s="305"/>
      <c r="DC13" s="305"/>
      <c r="DD13" s="305"/>
      <c r="DE13" s="305"/>
      <c r="DF13" s="305"/>
      <c r="DG13" s="305"/>
      <c r="DH13" s="305"/>
      <c r="DI13" s="305"/>
      <c r="DJ13" s="305"/>
      <c r="DK13" s="305"/>
      <c r="DL13" s="305"/>
      <c r="DM13" s="305"/>
      <c r="DN13" s="305"/>
      <c r="DO13" s="305"/>
      <c r="DP13" s="305"/>
      <c r="DQ13" s="305"/>
      <c r="DR13" s="305"/>
      <c r="DS13" s="305"/>
      <c r="DT13" s="305"/>
      <c r="DU13" s="305"/>
      <c r="DV13" s="305"/>
      <c r="DW13" s="305"/>
      <c r="DX13" s="305"/>
      <c r="DY13" s="305"/>
      <c r="DZ13" s="305"/>
      <c r="EA13" s="305"/>
      <c r="EB13" s="305"/>
      <c r="EC13" s="305"/>
      <c r="ED13" s="305"/>
      <c r="EE13" s="305"/>
      <c r="EF13" s="305"/>
      <c r="EG13" s="305"/>
      <c r="EH13" s="305"/>
      <c r="EI13" s="305"/>
      <c r="EJ13" s="305"/>
      <c r="EK13" s="305"/>
      <c r="EL13" s="305"/>
      <c r="EM13" s="305"/>
      <c r="EN13" s="305"/>
      <c r="EO13" s="305"/>
      <c r="EP13" s="305"/>
      <c r="EQ13" s="305"/>
      <c r="ER13" s="305"/>
      <c r="ES13" s="305"/>
      <c r="ET13" s="305"/>
      <c r="EU13" s="305"/>
      <c r="EV13" s="305"/>
      <c r="EW13" s="305"/>
      <c r="EX13" s="305"/>
      <c r="EY13" s="305"/>
      <c r="EZ13" s="305"/>
      <c r="FA13" s="305"/>
      <c r="FB13" s="305"/>
      <c r="FC13" s="305"/>
      <c r="FD13" s="305"/>
      <c r="FE13" s="305"/>
      <c r="FF13" s="305"/>
      <c r="FG13" s="305"/>
      <c r="FH13" s="305"/>
      <c r="FI13" s="305"/>
      <c r="FJ13" s="305"/>
      <c r="FK13" s="305"/>
      <c r="FL13" s="305"/>
      <c r="FM13" s="305"/>
      <c r="FN13" s="305"/>
      <c r="FO13" s="305"/>
      <c r="FP13" s="305"/>
      <c r="FQ13" s="305"/>
      <c r="FR13" s="305"/>
      <c r="FS13" s="305"/>
      <c r="FT13" s="305"/>
      <c r="FU13" s="305"/>
      <c r="FV13" s="305"/>
      <c r="FW13" s="305"/>
      <c r="FX13" s="305"/>
      <c r="FY13" s="305"/>
      <c r="FZ13" s="305"/>
      <c r="GA13" s="305"/>
      <c r="GB13" s="305"/>
      <c r="GC13" s="305"/>
      <c r="GD13" s="305"/>
      <c r="GE13" s="305"/>
      <c r="GF13" s="305"/>
      <c r="GG13" s="305"/>
      <c r="GH13" s="305"/>
      <c r="GI13" s="305"/>
      <c r="GJ13" s="305"/>
      <c r="GK13" s="305"/>
      <c r="GL13" s="305"/>
      <c r="GM13" s="305"/>
      <c r="GN13" s="305"/>
      <c r="GO13" s="305"/>
      <c r="GP13" s="305"/>
      <c r="GQ13" s="305"/>
      <c r="GR13" s="305"/>
      <c r="GS13" s="305"/>
      <c r="GT13" s="305"/>
      <c r="GU13" s="305"/>
      <c r="GV13" s="305"/>
      <c r="GW13" s="305"/>
      <c r="GX13" s="305"/>
      <c r="GY13" s="305"/>
      <c r="GZ13" s="305"/>
      <c r="HA13" s="305"/>
      <c r="HB13" s="305"/>
      <c r="HC13" s="305"/>
      <c r="HD13" s="305"/>
      <c r="HE13" s="305"/>
      <c r="HF13" s="305"/>
      <c r="HG13" s="305"/>
      <c r="HH13" s="305"/>
      <c r="HI13" s="305"/>
      <c r="HJ13" s="305"/>
      <c r="HK13" s="305"/>
      <c r="HL13" s="305"/>
      <c r="HM13" s="305"/>
      <c r="HN13" s="305"/>
      <c r="HO13" s="305"/>
      <c r="HP13" s="305"/>
      <c r="HQ13" s="305"/>
      <c r="HR13" s="305"/>
      <c r="HS13" s="305"/>
      <c r="HT13" s="305"/>
      <c r="HU13" s="305"/>
      <c r="HV13" s="305"/>
      <c r="HW13" s="305"/>
      <c r="HX13" s="305"/>
      <c r="HY13" s="305"/>
      <c r="HZ13" s="305"/>
      <c r="IA13" s="305"/>
      <c r="IB13" s="305"/>
      <c r="IC13" s="305"/>
      <c r="ID13" s="305"/>
      <c r="IE13" s="305"/>
      <c r="IF13" s="305"/>
      <c r="IG13" s="305"/>
      <c r="IH13" s="305"/>
      <c r="II13" s="305"/>
      <c r="IJ13" s="305"/>
      <c r="IK13" s="305"/>
      <c r="IL13" s="305"/>
      <c r="IM13" s="305"/>
      <c r="IN13" s="305"/>
      <c r="IO13" s="305"/>
      <c r="IP13" s="305"/>
      <c r="IQ13" s="305"/>
      <c r="IR13" s="305"/>
      <c r="IS13" s="305"/>
      <c r="IT13" s="305"/>
      <c r="IU13" s="305"/>
      <c r="IV13" s="305"/>
      <c r="IW13" s="305"/>
      <c r="IX13" s="305"/>
      <c r="IY13" s="305"/>
      <c r="IZ13" s="305"/>
      <c r="JA13" s="305"/>
      <c r="JB13" s="305"/>
      <c r="JC13" s="305"/>
      <c r="JD13" s="305"/>
      <c r="JE13" s="305"/>
      <c r="JF13" s="305"/>
      <c r="JG13" s="305"/>
      <c r="JH13" s="305"/>
      <c r="JI13" s="305"/>
      <c r="JJ13" s="305"/>
      <c r="JK13" s="305"/>
      <c r="JL13" s="305"/>
      <c r="JM13" s="305"/>
      <c r="JN13" s="305"/>
      <c r="JO13" s="305"/>
      <c r="JP13" s="305"/>
      <c r="JQ13" s="305"/>
      <c r="JR13" s="305"/>
      <c r="JS13" s="305"/>
      <c r="JT13" s="305"/>
      <c r="JU13" s="305"/>
      <c r="JV13" s="305"/>
      <c r="JW13" s="305"/>
      <c r="JX13" s="305"/>
      <c r="JY13" s="305"/>
      <c r="JZ13" s="305"/>
      <c r="KA13" s="305"/>
      <c r="KB13" s="305"/>
      <c r="KC13" s="305"/>
      <c r="KD13" s="305"/>
      <c r="KE13" s="305"/>
      <c r="KF13" s="305"/>
      <c r="KG13" s="305"/>
      <c r="KH13" s="305"/>
      <c r="KI13" s="305"/>
      <c r="KJ13" s="305"/>
      <c r="KK13" s="76"/>
      <c r="KL13"/>
      <c r="KM13"/>
      <c r="KN13"/>
      <c r="KO13"/>
      <c r="KP13"/>
      <c r="KQ13"/>
      <c r="KR13"/>
      <c r="KS13"/>
      <c r="KT13"/>
    </row>
    <row r="14" spans="1:306" s="172" customFormat="1" ht="18" customHeight="1">
      <c r="A14" s="153" t="s">
        <v>167</v>
      </c>
      <c r="B14" s="153">
        <v>6</v>
      </c>
      <c r="C14" s="153"/>
      <c r="D14" s="153"/>
      <c r="E14" s="153"/>
      <c r="F14" s="153"/>
      <c r="G14" s="153">
        <v>1</v>
      </c>
      <c r="H14" s="269"/>
      <c r="I14" s="270" t="s">
        <v>169</v>
      </c>
      <c r="J14" s="271" t="s">
        <v>299</v>
      </c>
      <c r="K14" s="272" t="s">
        <v>298</v>
      </c>
      <c r="L14" s="195" t="s">
        <v>168</v>
      </c>
      <c r="M14" s="273" t="s">
        <v>56</v>
      </c>
      <c r="N14" s="197"/>
      <c r="O14" s="274"/>
      <c r="P14" s="275"/>
      <c r="Q14" s="275"/>
      <c r="R14" s="276"/>
      <c r="S14" s="275">
        <v>44671.583333333336</v>
      </c>
      <c r="T14" s="275">
        <v>44671.708333333336</v>
      </c>
      <c r="U14" s="277">
        <v>3</v>
      </c>
      <c r="V14" s="197"/>
      <c r="W14" s="196">
        <v>100</v>
      </c>
      <c r="X14" s="278">
        <v>1</v>
      </c>
      <c r="Y14" s="275"/>
      <c r="Z14" s="275"/>
      <c r="AA14" s="276"/>
      <c r="AB14" s="274"/>
      <c r="AC14" s="274"/>
      <c r="AD14" s="274"/>
      <c r="AE14" s="279"/>
      <c r="AF14" s="197"/>
      <c r="AG14" s="197"/>
      <c r="AH14" s="197"/>
      <c r="AI14" s="197"/>
      <c r="AJ14" s="197"/>
      <c r="AK14" s="197"/>
      <c r="AL14" s="197"/>
      <c r="AM14" s="197"/>
      <c r="AN14" s="197"/>
      <c r="AO14" s="197"/>
      <c r="AP14" s="197"/>
      <c r="AQ14" s="197"/>
      <c r="AR14" s="197"/>
      <c r="AS14" s="197"/>
      <c r="AT14" s="197"/>
      <c r="AU14" s="197"/>
      <c r="AV14" s="197"/>
      <c r="AW14" s="197"/>
      <c r="AX14" s="197"/>
      <c r="AY14" s="197"/>
      <c r="AZ14" s="197"/>
      <c r="BA14" s="197"/>
      <c r="BB14" s="197"/>
      <c r="BC14" s="197"/>
      <c r="BD14" s="198"/>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c r="HG14" s="199"/>
      <c r="HH14" s="199"/>
      <c r="HI14" s="199"/>
      <c r="HJ14" s="199"/>
      <c r="HK14" s="199"/>
      <c r="HL14" s="199"/>
      <c r="HM14" s="199"/>
      <c r="HN14" s="199"/>
      <c r="HO14" s="199"/>
      <c r="HP14" s="199"/>
      <c r="HQ14" s="199"/>
      <c r="HR14" s="199"/>
      <c r="HS14" s="199"/>
      <c r="HT14" s="199"/>
      <c r="HU14" s="199"/>
      <c r="HV14" s="199"/>
      <c r="HW14" s="199"/>
      <c r="HX14" s="199"/>
      <c r="HY14" s="199"/>
      <c r="HZ14" s="199"/>
      <c r="IA14" s="199"/>
      <c r="IB14" s="199"/>
      <c r="IC14" s="199"/>
      <c r="ID14" s="199"/>
      <c r="IE14" s="199"/>
      <c r="IF14" s="199"/>
      <c r="IG14" s="199"/>
      <c r="IH14" s="199"/>
      <c r="II14" s="199"/>
      <c r="IJ14" s="199"/>
      <c r="IK14" s="199"/>
      <c r="IL14" s="199"/>
      <c r="IM14" s="199"/>
      <c r="IN14" s="199"/>
      <c r="IO14" s="199"/>
      <c r="IP14" s="199"/>
      <c r="IQ14" s="199"/>
      <c r="IR14" s="199"/>
      <c r="IS14" s="199"/>
      <c r="IT14" s="199"/>
      <c r="IU14" s="199"/>
      <c r="IV14" s="199"/>
      <c r="IW14" s="199"/>
      <c r="IX14" s="199"/>
      <c r="IY14" s="199"/>
      <c r="IZ14" s="199"/>
      <c r="JA14" s="199"/>
      <c r="JB14" s="199"/>
      <c r="JC14" s="199"/>
      <c r="JD14" s="199"/>
      <c r="JE14" s="199"/>
      <c r="JF14" s="199"/>
      <c r="JG14" s="199"/>
      <c r="JH14" s="199"/>
      <c r="JI14" s="199"/>
      <c r="JJ14" s="199"/>
      <c r="JK14" s="199"/>
      <c r="JL14" s="199"/>
      <c r="JM14" s="199"/>
      <c r="JN14" s="199"/>
      <c r="JO14" s="199"/>
      <c r="JP14" s="199"/>
      <c r="JQ14" s="199"/>
      <c r="JR14" s="199"/>
      <c r="JS14" s="199"/>
      <c r="JT14" s="199"/>
      <c r="JU14" s="199"/>
      <c r="JV14" s="199"/>
      <c r="JW14" s="199"/>
      <c r="JX14" s="199"/>
      <c r="JY14" s="199"/>
      <c r="JZ14" s="199"/>
      <c r="KA14" s="199"/>
      <c r="KB14" s="199"/>
      <c r="KC14" s="199"/>
      <c r="KD14" s="199"/>
      <c r="KE14" s="199"/>
      <c r="KF14" s="199"/>
      <c r="KG14" s="199"/>
      <c r="KH14" s="199"/>
      <c r="KI14" s="199"/>
      <c r="KJ14" s="199"/>
      <c r="KK14" s="76"/>
      <c r="KL14"/>
      <c r="KM14"/>
      <c r="KN14"/>
      <c r="KO14"/>
      <c r="KP14"/>
      <c r="KQ14"/>
      <c r="KR14"/>
      <c r="KS14"/>
      <c r="KT14"/>
    </row>
    <row r="15" spans="1:306" s="172" customFormat="1" ht="18" customHeight="1">
      <c r="A15" s="153" t="s">
        <v>167</v>
      </c>
      <c r="B15" s="153">
        <v>7</v>
      </c>
      <c r="C15" s="153"/>
      <c r="D15" s="153"/>
      <c r="E15" s="153"/>
      <c r="F15" s="153"/>
      <c r="G15" s="153">
        <v>1</v>
      </c>
      <c r="H15" s="251"/>
      <c r="I15" s="252" t="s">
        <v>169</v>
      </c>
      <c r="J15" s="181" t="s">
        <v>301</v>
      </c>
      <c r="K15" s="182" t="s">
        <v>300</v>
      </c>
      <c r="L15" s="183" t="s">
        <v>168</v>
      </c>
      <c r="M15" s="184" t="s">
        <v>355</v>
      </c>
      <c r="N15" s="185"/>
      <c r="O15" s="186"/>
      <c r="P15" s="187"/>
      <c r="Q15" s="187"/>
      <c r="R15" s="188"/>
      <c r="S15" s="187">
        <v>44672.375</v>
      </c>
      <c r="T15" s="187">
        <v>44672.583333333336</v>
      </c>
      <c r="U15" s="189">
        <v>5</v>
      </c>
      <c r="V15" s="185"/>
      <c r="W15" s="190">
        <v>0</v>
      </c>
      <c r="X15" s="191">
        <v>0.6</v>
      </c>
      <c r="Y15" s="187"/>
      <c r="Z15" s="187"/>
      <c r="AA15" s="188"/>
      <c r="AB15" s="186"/>
      <c r="AC15" s="186"/>
      <c r="AD15" s="186"/>
      <c r="AE15" s="192"/>
      <c r="AF15" s="185"/>
      <c r="AG15" s="185"/>
      <c r="AH15" s="185"/>
      <c r="AI15" s="185"/>
      <c r="AJ15" s="185"/>
      <c r="AK15" s="185"/>
      <c r="AL15" s="185"/>
      <c r="AM15" s="185"/>
      <c r="AN15" s="185"/>
      <c r="AO15" s="185"/>
      <c r="AP15" s="185"/>
      <c r="AQ15" s="185"/>
      <c r="AR15" s="185"/>
      <c r="AS15" s="185"/>
      <c r="AT15" s="185"/>
      <c r="AU15" s="185"/>
      <c r="AV15" s="185"/>
      <c r="AW15" s="185"/>
      <c r="AX15" s="185"/>
      <c r="AY15" s="185"/>
      <c r="AZ15" s="185"/>
      <c r="BA15" s="185"/>
      <c r="BB15" s="185"/>
      <c r="BC15" s="185"/>
      <c r="BD15" s="193"/>
      <c r="BE15" s="194"/>
      <c r="BF15" s="194"/>
      <c r="BG15" s="194"/>
      <c r="BH15" s="194"/>
      <c r="BI15" s="194"/>
      <c r="BJ15" s="194"/>
      <c r="BK15" s="194"/>
      <c r="BL15" s="194"/>
      <c r="BM15" s="194"/>
      <c r="BN15" s="194"/>
      <c r="BO15" s="194"/>
      <c r="BP15" s="194"/>
      <c r="BQ15" s="194"/>
      <c r="BR15" s="194"/>
      <c r="BS15" s="194"/>
      <c r="BT15" s="194"/>
      <c r="BU15" s="194"/>
      <c r="BV15" s="194"/>
      <c r="BW15" s="194"/>
      <c r="BX15" s="194"/>
      <c r="BY15" s="194"/>
      <c r="BZ15" s="194"/>
      <c r="CA15" s="194"/>
      <c r="CB15" s="194"/>
      <c r="CC15" s="194"/>
      <c r="CD15" s="194"/>
      <c r="CE15" s="194"/>
      <c r="CF15" s="194"/>
      <c r="CG15" s="194"/>
      <c r="CH15" s="194"/>
      <c r="CI15" s="194"/>
      <c r="CJ15" s="194"/>
      <c r="CK15" s="194"/>
      <c r="CL15" s="194"/>
      <c r="CM15" s="194"/>
      <c r="CN15" s="194"/>
      <c r="CO15" s="194"/>
      <c r="CP15" s="194"/>
      <c r="CQ15" s="194"/>
      <c r="CR15" s="194"/>
      <c r="CS15" s="194"/>
      <c r="CT15" s="194"/>
      <c r="CU15" s="194"/>
      <c r="CV15" s="194"/>
      <c r="CW15" s="194"/>
      <c r="CX15" s="194"/>
      <c r="CY15" s="194"/>
      <c r="CZ15" s="194"/>
      <c r="DA15" s="194"/>
      <c r="DB15" s="194"/>
      <c r="DC15" s="194"/>
      <c r="DD15" s="194"/>
      <c r="DE15" s="194"/>
      <c r="DF15" s="194"/>
      <c r="DG15" s="194"/>
      <c r="DH15" s="194"/>
      <c r="DI15" s="194"/>
      <c r="DJ15" s="194"/>
      <c r="DK15" s="194"/>
      <c r="DL15" s="194"/>
      <c r="DM15" s="194"/>
      <c r="DN15" s="194"/>
      <c r="DO15" s="194"/>
      <c r="DP15" s="194"/>
      <c r="DQ15" s="194"/>
      <c r="DR15" s="194"/>
      <c r="DS15" s="194"/>
      <c r="DT15" s="194"/>
      <c r="DU15" s="194"/>
      <c r="DV15" s="194"/>
      <c r="DW15" s="194"/>
      <c r="DX15" s="194"/>
      <c r="DY15" s="194"/>
      <c r="DZ15" s="194"/>
      <c r="EA15" s="194"/>
      <c r="EB15" s="194"/>
      <c r="EC15" s="194"/>
      <c r="ED15" s="194"/>
      <c r="EE15" s="194"/>
      <c r="EF15" s="194"/>
      <c r="EG15" s="194"/>
      <c r="EH15" s="194"/>
      <c r="EI15" s="194"/>
      <c r="EJ15" s="194"/>
      <c r="EK15" s="194"/>
      <c r="EL15" s="194"/>
      <c r="EM15" s="194"/>
      <c r="EN15" s="194"/>
      <c r="EO15" s="194"/>
      <c r="EP15" s="194"/>
      <c r="EQ15" s="194"/>
      <c r="ER15" s="194"/>
      <c r="ES15" s="194"/>
      <c r="ET15" s="194"/>
      <c r="EU15" s="194"/>
      <c r="EV15" s="194"/>
      <c r="EW15" s="194"/>
      <c r="EX15" s="194"/>
      <c r="EY15" s="194"/>
      <c r="EZ15" s="194"/>
      <c r="FA15" s="194"/>
      <c r="FB15" s="194"/>
      <c r="FC15" s="194"/>
      <c r="FD15" s="194"/>
      <c r="FE15" s="194"/>
      <c r="FF15" s="194"/>
      <c r="FG15" s="194"/>
      <c r="FH15" s="194"/>
      <c r="FI15" s="194"/>
      <c r="FJ15" s="194"/>
      <c r="FK15" s="194"/>
      <c r="FL15" s="194"/>
      <c r="FM15" s="194"/>
      <c r="FN15" s="194"/>
      <c r="FO15" s="194"/>
      <c r="FP15" s="194"/>
      <c r="FQ15" s="194"/>
      <c r="FR15" s="194"/>
      <c r="FS15" s="194"/>
      <c r="FT15" s="194"/>
      <c r="FU15" s="194"/>
      <c r="FV15" s="194"/>
      <c r="FW15" s="194"/>
      <c r="FX15" s="194"/>
      <c r="FY15" s="194"/>
      <c r="FZ15" s="194"/>
      <c r="GA15" s="194"/>
      <c r="GB15" s="194"/>
      <c r="GC15" s="194"/>
      <c r="GD15" s="194"/>
      <c r="GE15" s="194"/>
      <c r="GF15" s="194"/>
      <c r="GG15" s="194"/>
      <c r="GH15" s="194"/>
      <c r="GI15" s="194"/>
      <c r="GJ15" s="194"/>
      <c r="GK15" s="194"/>
      <c r="GL15" s="194"/>
      <c r="GM15" s="194"/>
      <c r="GN15" s="194"/>
      <c r="GO15" s="194"/>
      <c r="GP15" s="194"/>
      <c r="GQ15" s="194"/>
      <c r="GR15" s="194"/>
      <c r="GS15" s="194"/>
      <c r="GT15" s="194"/>
      <c r="GU15" s="194"/>
      <c r="GV15" s="194"/>
      <c r="GW15" s="194"/>
      <c r="GX15" s="194"/>
      <c r="GY15" s="194"/>
      <c r="GZ15" s="194"/>
      <c r="HA15" s="194"/>
      <c r="HB15" s="194"/>
      <c r="HC15" s="194"/>
      <c r="HD15" s="194"/>
      <c r="HE15" s="194"/>
      <c r="HF15" s="194"/>
      <c r="HG15" s="194"/>
      <c r="HH15" s="194"/>
      <c r="HI15" s="194"/>
      <c r="HJ15" s="194"/>
      <c r="HK15" s="194"/>
      <c r="HL15" s="194"/>
      <c r="HM15" s="194"/>
      <c r="HN15" s="194"/>
      <c r="HO15" s="194"/>
      <c r="HP15" s="194"/>
      <c r="HQ15" s="194"/>
      <c r="HR15" s="194"/>
      <c r="HS15" s="194"/>
      <c r="HT15" s="194"/>
      <c r="HU15" s="194"/>
      <c r="HV15" s="194"/>
      <c r="HW15" s="194"/>
      <c r="HX15" s="194"/>
      <c r="HY15" s="194"/>
      <c r="HZ15" s="194"/>
      <c r="IA15" s="194"/>
      <c r="IB15" s="194"/>
      <c r="IC15" s="194"/>
      <c r="ID15" s="194"/>
      <c r="IE15" s="194"/>
      <c r="IF15" s="194"/>
      <c r="IG15" s="194"/>
      <c r="IH15" s="194"/>
      <c r="II15" s="194"/>
      <c r="IJ15" s="194"/>
      <c r="IK15" s="194"/>
      <c r="IL15" s="194"/>
      <c r="IM15" s="194"/>
      <c r="IN15" s="194"/>
      <c r="IO15" s="194"/>
      <c r="IP15" s="194"/>
      <c r="IQ15" s="194"/>
      <c r="IR15" s="194"/>
      <c r="IS15" s="194"/>
      <c r="IT15" s="194"/>
      <c r="IU15" s="194"/>
      <c r="IV15" s="194"/>
      <c r="IW15" s="194"/>
      <c r="IX15" s="194"/>
      <c r="IY15" s="194"/>
      <c r="IZ15" s="194"/>
      <c r="JA15" s="194"/>
      <c r="JB15" s="194"/>
      <c r="JC15" s="194"/>
      <c r="JD15" s="194"/>
      <c r="JE15" s="194"/>
      <c r="JF15" s="194"/>
      <c r="JG15" s="194"/>
      <c r="JH15" s="194"/>
      <c r="JI15" s="194"/>
      <c r="JJ15" s="194"/>
      <c r="JK15" s="194"/>
      <c r="JL15" s="194"/>
      <c r="JM15" s="194"/>
      <c r="JN15" s="194"/>
      <c r="JO15" s="194"/>
      <c r="JP15" s="194"/>
      <c r="JQ15" s="194"/>
      <c r="JR15" s="194"/>
      <c r="JS15" s="194"/>
      <c r="JT15" s="194"/>
      <c r="JU15" s="194"/>
      <c r="JV15" s="194"/>
      <c r="JW15" s="194"/>
      <c r="JX15" s="194"/>
      <c r="JY15" s="194"/>
      <c r="JZ15" s="194"/>
      <c r="KA15" s="194"/>
      <c r="KB15" s="194"/>
      <c r="KC15" s="194"/>
      <c r="KD15" s="194"/>
      <c r="KE15" s="194"/>
      <c r="KF15" s="194"/>
      <c r="KG15" s="194"/>
      <c r="KH15" s="194"/>
      <c r="KI15" s="194"/>
      <c r="KJ15" s="194"/>
      <c r="KK15" s="76"/>
      <c r="KL15"/>
      <c r="KM15"/>
      <c r="KN15"/>
      <c r="KO15"/>
      <c r="KP15"/>
      <c r="KQ15"/>
      <c r="KR15"/>
      <c r="KS15"/>
      <c r="KT15"/>
    </row>
    <row r="16" spans="1:306" s="172" customFormat="1" ht="18" customHeight="1">
      <c r="A16" s="153" t="s">
        <v>167</v>
      </c>
      <c r="B16" s="153">
        <v>8</v>
      </c>
      <c r="C16" s="153"/>
      <c r="D16" s="153"/>
      <c r="E16" s="153"/>
      <c r="F16" s="153"/>
      <c r="G16" s="153">
        <v>1</v>
      </c>
      <c r="H16" s="173"/>
      <c r="I16" s="175" t="s">
        <v>169</v>
      </c>
      <c r="J16" s="161" t="s">
        <v>303</v>
      </c>
      <c r="K16" s="178" t="s">
        <v>302</v>
      </c>
      <c r="L16" s="163" t="s">
        <v>168</v>
      </c>
      <c r="M16" s="164" t="s">
        <v>56</v>
      </c>
      <c r="N16" s="162"/>
      <c r="O16" s="165"/>
      <c r="P16" s="166"/>
      <c r="Q16" s="166"/>
      <c r="R16" s="167"/>
      <c r="S16" s="166">
        <v>44673.375</v>
      </c>
      <c r="T16" s="166">
        <v>44673.458333333336</v>
      </c>
      <c r="U16" s="176">
        <v>2</v>
      </c>
      <c r="V16" s="162"/>
      <c r="W16" s="168">
        <v>100</v>
      </c>
      <c r="X16" s="169">
        <v>1</v>
      </c>
      <c r="Y16" s="166"/>
      <c r="Z16" s="166"/>
      <c r="AA16" s="167"/>
      <c r="AB16" s="165"/>
      <c r="AC16" s="165"/>
      <c r="AD16" s="165"/>
      <c r="AE16" s="170"/>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71"/>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c r="DZ16" s="174"/>
      <c r="EA16" s="174"/>
      <c r="EB16" s="174"/>
      <c r="EC16" s="174"/>
      <c r="ED16" s="174"/>
      <c r="EE16" s="174"/>
      <c r="EF16" s="174"/>
      <c r="EG16" s="174"/>
      <c r="EH16" s="174"/>
      <c r="EI16" s="174"/>
      <c r="EJ16" s="174"/>
      <c r="EK16" s="174"/>
      <c r="EL16" s="174"/>
      <c r="EM16" s="174"/>
      <c r="EN16" s="174"/>
      <c r="EO16" s="174"/>
      <c r="EP16" s="174"/>
      <c r="EQ16" s="174"/>
      <c r="ER16" s="174"/>
      <c r="ES16" s="174"/>
      <c r="ET16" s="174"/>
      <c r="EU16" s="174"/>
      <c r="EV16" s="174"/>
      <c r="EW16" s="174"/>
      <c r="EX16" s="174"/>
      <c r="EY16" s="174"/>
      <c r="EZ16" s="174"/>
      <c r="FA16" s="174"/>
      <c r="FB16" s="174"/>
      <c r="FC16" s="174"/>
      <c r="FD16" s="174"/>
      <c r="FE16" s="174"/>
      <c r="FF16" s="174"/>
      <c r="FG16" s="174"/>
      <c r="FH16" s="174"/>
      <c r="FI16" s="174"/>
      <c r="FJ16" s="174"/>
      <c r="FK16" s="174"/>
      <c r="FL16" s="174"/>
      <c r="FM16" s="174"/>
      <c r="FN16" s="174"/>
      <c r="FO16" s="174"/>
      <c r="FP16" s="174"/>
      <c r="FQ16" s="174"/>
      <c r="FR16" s="174"/>
      <c r="FS16" s="174"/>
      <c r="FT16" s="174"/>
      <c r="FU16" s="174"/>
      <c r="FV16" s="174"/>
      <c r="FW16" s="174"/>
      <c r="FX16" s="174"/>
      <c r="FY16" s="174"/>
      <c r="FZ16" s="174"/>
      <c r="GA16" s="174"/>
      <c r="GB16" s="174"/>
      <c r="GC16" s="174"/>
      <c r="GD16" s="174"/>
      <c r="GE16" s="174"/>
      <c r="GF16" s="174"/>
      <c r="GG16" s="174"/>
      <c r="GH16" s="174"/>
      <c r="GI16" s="174"/>
      <c r="GJ16" s="174"/>
      <c r="GK16" s="174"/>
      <c r="GL16" s="174"/>
      <c r="GM16" s="174"/>
      <c r="GN16" s="174"/>
      <c r="GO16" s="174"/>
      <c r="GP16" s="174"/>
      <c r="GQ16" s="174"/>
      <c r="GR16" s="174"/>
      <c r="GS16" s="174"/>
      <c r="GT16" s="174"/>
      <c r="GU16" s="174"/>
      <c r="GV16" s="174"/>
      <c r="GW16" s="174"/>
      <c r="GX16" s="174"/>
      <c r="GY16" s="174"/>
      <c r="GZ16" s="174"/>
      <c r="HA16" s="174"/>
      <c r="HB16" s="174"/>
      <c r="HC16" s="174"/>
      <c r="HD16" s="174"/>
      <c r="HE16" s="174"/>
      <c r="HF16" s="174"/>
      <c r="HG16" s="174"/>
      <c r="HH16" s="174"/>
      <c r="HI16" s="174"/>
      <c r="HJ16" s="174"/>
      <c r="HK16" s="174"/>
      <c r="HL16" s="174"/>
      <c r="HM16" s="174"/>
      <c r="HN16" s="174"/>
      <c r="HO16" s="174"/>
      <c r="HP16" s="174"/>
      <c r="HQ16" s="174"/>
      <c r="HR16" s="174"/>
      <c r="HS16" s="174"/>
      <c r="HT16" s="174"/>
      <c r="HU16" s="174"/>
      <c r="HV16" s="174"/>
      <c r="HW16" s="174"/>
      <c r="HX16" s="174"/>
      <c r="HY16" s="174"/>
      <c r="HZ16" s="174"/>
      <c r="IA16" s="174"/>
      <c r="IB16" s="174"/>
      <c r="IC16" s="174"/>
      <c r="ID16" s="174"/>
      <c r="IE16" s="174"/>
      <c r="IF16" s="174"/>
      <c r="IG16" s="174"/>
      <c r="IH16" s="174"/>
      <c r="II16" s="174"/>
      <c r="IJ16" s="174"/>
      <c r="IK16" s="174"/>
      <c r="IL16" s="174"/>
      <c r="IM16" s="174"/>
      <c r="IN16" s="174"/>
      <c r="IO16" s="174"/>
      <c r="IP16" s="174"/>
      <c r="IQ16" s="174"/>
      <c r="IR16" s="174"/>
      <c r="IS16" s="174"/>
      <c r="IT16" s="174"/>
      <c r="IU16" s="174"/>
      <c r="IV16" s="174"/>
      <c r="IW16" s="174"/>
      <c r="IX16" s="174"/>
      <c r="IY16" s="174"/>
      <c r="IZ16" s="174"/>
      <c r="JA16" s="174"/>
      <c r="JB16" s="174"/>
      <c r="JC16" s="174"/>
      <c r="JD16" s="174"/>
      <c r="JE16" s="174"/>
      <c r="JF16" s="174"/>
      <c r="JG16" s="174"/>
      <c r="JH16" s="174"/>
      <c r="JI16" s="174"/>
      <c r="JJ16" s="174"/>
      <c r="JK16" s="174"/>
      <c r="JL16" s="174"/>
      <c r="JM16" s="174"/>
      <c r="JN16" s="174"/>
      <c r="JO16" s="174"/>
      <c r="JP16" s="174"/>
      <c r="JQ16" s="174"/>
      <c r="JR16" s="174"/>
      <c r="JS16" s="174"/>
      <c r="JT16" s="174"/>
      <c r="JU16" s="174"/>
      <c r="JV16" s="174"/>
      <c r="JW16" s="174"/>
      <c r="JX16" s="174"/>
      <c r="JY16" s="174"/>
      <c r="JZ16" s="174"/>
      <c r="KA16" s="174"/>
      <c r="KB16" s="174"/>
      <c r="KC16" s="174"/>
      <c r="KD16" s="174"/>
      <c r="KE16" s="174"/>
      <c r="KF16" s="174"/>
      <c r="KG16" s="174"/>
      <c r="KH16" s="174"/>
      <c r="KI16" s="174"/>
      <c r="KJ16" s="174"/>
      <c r="KK16" s="76"/>
      <c r="KL16"/>
      <c r="KM16"/>
      <c r="KN16"/>
      <c r="KO16"/>
      <c r="KP16"/>
      <c r="KQ16"/>
      <c r="KR16"/>
      <c r="KS16"/>
      <c r="KT16"/>
    </row>
    <row r="17" spans="1:306" s="172" customFormat="1" ht="18" customHeight="1">
      <c r="A17" s="153" t="s">
        <v>167</v>
      </c>
      <c r="B17" s="153">
        <v>9</v>
      </c>
      <c r="C17" s="153"/>
      <c r="D17" s="153"/>
      <c r="E17" s="153"/>
      <c r="F17" s="153"/>
      <c r="G17" s="153">
        <v>0</v>
      </c>
      <c r="H17" s="179"/>
      <c r="I17" s="180" t="s">
        <v>169</v>
      </c>
      <c r="J17" s="232" t="s">
        <v>290</v>
      </c>
      <c r="K17" s="233" t="s">
        <v>304</v>
      </c>
      <c r="L17" s="183" t="s">
        <v>168</v>
      </c>
      <c r="M17" s="234" t="s">
        <v>56</v>
      </c>
      <c r="N17" s="235"/>
      <c r="O17" s="236"/>
      <c r="P17" s="237"/>
      <c r="Q17" s="237"/>
      <c r="R17" s="238"/>
      <c r="S17" s="237">
        <v>44676.375</v>
      </c>
      <c r="T17" s="237">
        <v>44687.75</v>
      </c>
      <c r="U17" s="239">
        <v>71</v>
      </c>
      <c r="V17" s="235"/>
      <c r="W17" s="190">
        <v>100</v>
      </c>
      <c r="X17" s="240">
        <v>1</v>
      </c>
      <c r="Y17" s="237"/>
      <c r="Z17" s="237"/>
      <c r="AA17" s="238"/>
      <c r="AB17" s="236"/>
      <c r="AC17" s="236"/>
      <c r="AD17" s="236"/>
      <c r="AE17" s="241"/>
      <c r="AF17" s="185"/>
      <c r="AG17" s="185"/>
      <c r="AH17" s="185"/>
      <c r="AI17" s="185"/>
      <c r="AJ17" s="185"/>
      <c r="AK17" s="185"/>
      <c r="AL17" s="185"/>
      <c r="AM17" s="185"/>
      <c r="AN17" s="185"/>
      <c r="AO17" s="185"/>
      <c r="AP17" s="185"/>
      <c r="AQ17" s="185"/>
      <c r="AR17" s="185"/>
      <c r="AS17" s="185"/>
      <c r="AT17" s="185"/>
      <c r="AU17" s="185"/>
      <c r="AV17" s="185"/>
      <c r="AW17" s="185"/>
      <c r="AX17" s="185"/>
      <c r="AY17" s="185"/>
      <c r="AZ17" s="185"/>
      <c r="BA17" s="185"/>
      <c r="BB17" s="185"/>
      <c r="BC17" s="185"/>
      <c r="BD17" s="193"/>
      <c r="BE17" s="194"/>
      <c r="BF17" s="194"/>
      <c r="BG17" s="194"/>
      <c r="BH17" s="194"/>
      <c r="BI17" s="194"/>
      <c r="BJ17" s="194"/>
      <c r="BK17" s="194"/>
      <c r="BL17" s="194"/>
      <c r="BM17" s="194"/>
      <c r="BN17" s="194"/>
      <c r="BO17" s="194"/>
      <c r="BP17" s="194"/>
      <c r="BQ17" s="194"/>
      <c r="BR17" s="194"/>
      <c r="BS17" s="194"/>
      <c r="BT17" s="194"/>
      <c r="BU17" s="194"/>
      <c r="BV17" s="194"/>
      <c r="BW17" s="194"/>
      <c r="BX17" s="194"/>
      <c r="BY17" s="194"/>
      <c r="BZ17" s="194"/>
      <c r="CA17" s="194"/>
      <c r="CB17" s="194"/>
      <c r="CC17" s="194"/>
      <c r="CD17" s="194"/>
      <c r="CE17" s="194"/>
      <c r="CF17" s="194"/>
      <c r="CG17" s="194"/>
      <c r="CH17" s="194"/>
      <c r="CI17" s="194"/>
      <c r="CJ17" s="194"/>
      <c r="CK17" s="194"/>
      <c r="CL17" s="194"/>
      <c r="CM17" s="194"/>
      <c r="CN17" s="194"/>
      <c r="CO17" s="194"/>
      <c r="CP17" s="194"/>
      <c r="CQ17" s="194"/>
      <c r="CR17" s="194"/>
      <c r="CS17" s="194"/>
      <c r="CT17" s="194"/>
      <c r="CU17" s="194"/>
      <c r="CV17" s="194"/>
      <c r="CW17" s="194"/>
      <c r="CX17" s="194"/>
      <c r="CY17" s="194"/>
      <c r="CZ17" s="194"/>
      <c r="DA17" s="194"/>
      <c r="DB17" s="194"/>
      <c r="DC17" s="194"/>
      <c r="DD17" s="194"/>
      <c r="DE17" s="194"/>
      <c r="DF17" s="194"/>
      <c r="DG17" s="194"/>
      <c r="DH17" s="194"/>
      <c r="DI17" s="194"/>
      <c r="DJ17" s="194"/>
      <c r="DK17" s="194"/>
      <c r="DL17" s="194"/>
      <c r="DM17" s="194"/>
      <c r="DN17" s="194"/>
      <c r="DO17" s="194"/>
      <c r="DP17" s="194"/>
      <c r="DQ17" s="194"/>
      <c r="DR17" s="194"/>
      <c r="DS17" s="194"/>
      <c r="DT17" s="194"/>
      <c r="DU17" s="194"/>
      <c r="DV17" s="194"/>
      <c r="DW17" s="194"/>
      <c r="DX17" s="194"/>
      <c r="DY17" s="194"/>
      <c r="DZ17" s="194"/>
      <c r="EA17" s="194"/>
      <c r="EB17" s="194"/>
      <c r="EC17" s="194"/>
      <c r="ED17" s="194"/>
      <c r="EE17" s="194"/>
      <c r="EF17" s="194"/>
      <c r="EG17" s="194"/>
      <c r="EH17" s="194"/>
      <c r="EI17" s="194"/>
      <c r="EJ17" s="194"/>
      <c r="EK17" s="194"/>
      <c r="EL17" s="194"/>
      <c r="EM17" s="194"/>
      <c r="EN17" s="194"/>
      <c r="EO17" s="194"/>
      <c r="EP17" s="194"/>
      <c r="EQ17" s="194"/>
      <c r="ER17" s="194"/>
      <c r="ES17" s="194"/>
      <c r="ET17" s="194"/>
      <c r="EU17" s="194"/>
      <c r="EV17" s="194"/>
      <c r="EW17" s="194"/>
      <c r="EX17" s="194"/>
      <c r="EY17" s="194"/>
      <c r="EZ17" s="194"/>
      <c r="FA17" s="194"/>
      <c r="FB17" s="194"/>
      <c r="FC17" s="194"/>
      <c r="FD17" s="194"/>
      <c r="FE17" s="194"/>
      <c r="FF17" s="194"/>
      <c r="FG17" s="194"/>
      <c r="FH17" s="194"/>
      <c r="FI17" s="194"/>
      <c r="FJ17" s="194"/>
      <c r="FK17" s="194"/>
      <c r="FL17" s="194"/>
      <c r="FM17" s="194"/>
      <c r="FN17" s="194"/>
      <c r="FO17" s="194"/>
      <c r="FP17" s="194"/>
      <c r="FQ17" s="194"/>
      <c r="FR17" s="194"/>
      <c r="FS17" s="194"/>
      <c r="FT17" s="194"/>
      <c r="FU17" s="194"/>
      <c r="FV17" s="194"/>
      <c r="FW17" s="194"/>
      <c r="FX17" s="194"/>
      <c r="FY17" s="194"/>
      <c r="FZ17" s="194"/>
      <c r="GA17" s="194"/>
      <c r="GB17" s="194"/>
      <c r="GC17" s="194"/>
      <c r="GD17" s="194"/>
      <c r="GE17" s="194"/>
      <c r="GF17" s="194"/>
      <c r="GG17" s="194"/>
      <c r="GH17" s="194"/>
      <c r="GI17" s="194"/>
      <c r="GJ17" s="194"/>
      <c r="GK17" s="194"/>
      <c r="GL17" s="194"/>
      <c r="GM17" s="194"/>
      <c r="GN17" s="194"/>
      <c r="GO17" s="194"/>
      <c r="GP17" s="194"/>
      <c r="GQ17" s="194"/>
      <c r="GR17" s="194"/>
      <c r="GS17" s="194"/>
      <c r="GT17" s="194"/>
      <c r="GU17" s="194"/>
      <c r="GV17" s="194"/>
      <c r="GW17" s="194"/>
      <c r="GX17" s="194"/>
      <c r="GY17" s="194"/>
      <c r="GZ17" s="194"/>
      <c r="HA17" s="194"/>
      <c r="HB17" s="194"/>
      <c r="HC17" s="194"/>
      <c r="HD17" s="194"/>
      <c r="HE17" s="194"/>
      <c r="HF17" s="194"/>
      <c r="HG17" s="194"/>
      <c r="HH17" s="194"/>
      <c r="HI17" s="194"/>
      <c r="HJ17" s="194"/>
      <c r="HK17" s="194"/>
      <c r="HL17" s="194"/>
      <c r="HM17" s="194"/>
      <c r="HN17" s="194"/>
      <c r="HO17" s="194"/>
      <c r="HP17" s="194"/>
      <c r="HQ17" s="194"/>
      <c r="HR17" s="194"/>
      <c r="HS17" s="194"/>
      <c r="HT17" s="194"/>
      <c r="HU17" s="194"/>
      <c r="HV17" s="194"/>
      <c r="HW17" s="194"/>
      <c r="HX17" s="194"/>
      <c r="HY17" s="194"/>
      <c r="HZ17" s="194"/>
      <c r="IA17" s="194"/>
      <c r="IB17" s="194"/>
      <c r="IC17" s="194"/>
      <c r="ID17" s="194"/>
      <c r="IE17" s="194"/>
      <c r="IF17" s="194"/>
      <c r="IG17" s="194"/>
      <c r="IH17" s="194"/>
      <c r="II17" s="194"/>
      <c r="IJ17" s="194"/>
      <c r="IK17" s="194"/>
      <c r="IL17" s="194"/>
      <c r="IM17" s="194"/>
      <c r="IN17" s="194"/>
      <c r="IO17" s="194"/>
      <c r="IP17" s="194"/>
      <c r="IQ17" s="194"/>
      <c r="IR17" s="194"/>
      <c r="IS17" s="194"/>
      <c r="IT17" s="194"/>
      <c r="IU17" s="194"/>
      <c r="IV17" s="194"/>
      <c r="IW17" s="194"/>
      <c r="IX17" s="194"/>
      <c r="IY17" s="194"/>
      <c r="IZ17" s="194"/>
      <c r="JA17" s="194"/>
      <c r="JB17" s="194"/>
      <c r="JC17" s="194"/>
      <c r="JD17" s="194"/>
      <c r="JE17" s="194"/>
      <c r="JF17" s="194"/>
      <c r="JG17" s="194"/>
      <c r="JH17" s="194"/>
      <c r="JI17" s="194"/>
      <c r="JJ17" s="194"/>
      <c r="JK17" s="194"/>
      <c r="JL17" s="194"/>
      <c r="JM17" s="194"/>
      <c r="JN17" s="194"/>
      <c r="JO17" s="194"/>
      <c r="JP17" s="194"/>
      <c r="JQ17" s="194"/>
      <c r="JR17" s="194"/>
      <c r="JS17" s="194"/>
      <c r="JT17" s="194"/>
      <c r="JU17" s="194"/>
      <c r="JV17" s="194"/>
      <c r="JW17" s="194"/>
      <c r="JX17" s="194"/>
      <c r="JY17" s="194"/>
      <c r="JZ17" s="194"/>
      <c r="KA17" s="194"/>
      <c r="KB17" s="194"/>
      <c r="KC17" s="194"/>
      <c r="KD17" s="194"/>
      <c r="KE17" s="194"/>
      <c r="KF17" s="194"/>
      <c r="KG17" s="194"/>
      <c r="KH17" s="194"/>
      <c r="KI17" s="194"/>
      <c r="KJ17" s="194"/>
      <c r="KK17" s="76"/>
      <c r="KL17"/>
      <c r="KM17"/>
      <c r="KN17"/>
      <c r="KO17"/>
      <c r="KP17"/>
      <c r="KQ17"/>
      <c r="KR17"/>
      <c r="KS17"/>
      <c r="KT17"/>
    </row>
    <row r="18" spans="1:306" s="172" customFormat="1" ht="18" customHeight="1">
      <c r="A18" s="153" t="s">
        <v>167</v>
      </c>
      <c r="B18" s="153">
        <v>10</v>
      </c>
      <c r="C18" s="153"/>
      <c r="D18" s="153"/>
      <c r="E18" s="153"/>
      <c r="F18" s="153"/>
      <c r="G18" s="153">
        <v>1</v>
      </c>
      <c r="H18" s="216"/>
      <c r="I18" s="217" t="s">
        <v>169</v>
      </c>
      <c r="J18" s="218" t="s">
        <v>306</v>
      </c>
      <c r="K18" s="219" t="s">
        <v>305</v>
      </c>
      <c r="L18" s="220" t="s">
        <v>168</v>
      </c>
      <c r="M18" s="221" t="s">
        <v>56</v>
      </c>
      <c r="N18" s="222"/>
      <c r="O18" s="223"/>
      <c r="P18" s="224"/>
      <c r="Q18" s="224"/>
      <c r="R18" s="225"/>
      <c r="S18" s="224">
        <v>44676.375</v>
      </c>
      <c r="T18" s="224">
        <v>44677.416666666664</v>
      </c>
      <c r="U18" s="226">
        <v>10</v>
      </c>
      <c r="V18" s="222"/>
      <c r="W18" s="227">
        <v>100</v>
      </c>
      <c r="X18" s="228">
        <v>1</v>
      </c>
      <c r="Y18" s="224"/>
      <c r="Z18" s="224"/>
      <c r="AA18" s="225"/>
      <c r="AB18" s="223"/>
      <c r="AC18" s="223"/>
      <c r="AD18" s="223"/>
      <c r="AE18" s="229"/>
      <c r="AF18" s="222"/>
      <c r="AG18" s="222"/>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c r="BD18" s="230"/>
      <c r="BE18" s="231"/>
      <c r="BF18" s="231"/>
      <c r="BG18" s="231"/>
      <c r="BH18" s="231"/>
      <c r="BI18" s="231"/>
      <c r="BJ18" s="231"/>
      <c r="BK18" s="231"/>
      <c r="BL18" s="231"/>
      <c r="BM18" s="231"/>
      <c r="BN18" s="231"/>
      <c r="BO18" s="231"/>
      <c r="BP18" s="231"/>
      <c r="BQ18" s="231"/>
      <c r="BR18" s="231"/>
      <c r="BS18" s="231"/>
      <c r="BT18" s="231"/>
      <c r="BU18" s="231"/>
      <c r="BV18" s="231"/>
      <c r="BW18" s="231"/>
      <c r="BX18" s="231"/>
      <c r="BY18" s="231"/>
      <c r="BZ18" s="231"/>
      <c r="CA18" s="231"/>
      <c r="CB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c r="DG18" s="231"/>
      <c r="DH18" s="231"/>
      <c r="DI18" s="231"/>
      <c r="DJ18" s="231"/>
      <c r="DK18" s="231"/>
      <c r="DL18" s="231"/>
      <c r="DM18" s="231"/>
      <c r="DN18" s="231"/>
      <c r="DO18" s="231"/>
      <c r="DP18" s="231"/>
      <c r="DQ18" s="231"/>
      <c r="DR18" s="231"/>
      <c r="DS18" s="231"/>
      <c r="DT18" s="231"/>
      <c r="DU18" s="231"/>
      <c r="DV18" s="231"/>
      <c r="DW18" s="231"/>
      <c r="DX18" s="231"/>
      <c r="DY18" s="231"/>
      <c r="DZ18" s="231"/>
      <c r="EA18" s="231"/>
      <c r="EB18" s="231"/>
      <c r="EC18" s="231"/>
      <c r="ED18" s="231"/>
      <c r="EE18" s="231"/>
      <c r="EF18" s="231"/>
      <c r="EG18" s="231"/>
      <c r="EH18" s="231"/>
      <c r="EI18" s="231"/>
      <c r="EJ18" s="231"/>
      <c r="EK18" s="231"/>
      <c r="EL18" s="231"/>
      <c r="EM18" s="231"/>
      <c r="EN18" s="231"/>
      <c r="EO18" s="231"/>
      <c r="EP18" s="231"/>
      <c r="EQ18" s="231"/>
      <c r="ER18" s="231"/>
      <c r="ES18" s="231"/>
      <c r="ET18" s="231"/>
      <c r="EU18" s="231"/>
      <c r="EV18" s="231"/>
      <c r="EW18" s="231"/>
      <c r="EX18" s="231"/>
      <c r="EY18" s="231"/>
      <c r="EZ18" s="231"/>
      <c r="FA18" s="231"/>
      <c r="FB18" s="231"/>
      <c r="FC18" s="231"/>
      <c r="FD18" s="231"/>
      <c r="FE18" s="231"/>
      <c r="FF18" s="231"/>
      <c r="FG18" s="231"/>
      <c r="FH18" s="231"/>
      <c r="FI18" s="231"/>
      <c r="FJ18" s="231"/>
      <c r="FK18" s="231"/>
      <c r="FL18" s="231"/>
      <c r="FM18" s="231"/>
      <c r="FN18" s="231"/>
      <c r="FO18" s="231"/>
      <c r="FP18" s="231"/>
      <c r="FQ18" s="231"/>
      <c r="FR18" s="231"/>
      <c r="FS18" s="231"/>
      <c r="FT18" s="231"/>
      <c r="FU18" s="231"/>
      <c r="FV18" s="231"/>
      <c r="FW18" s="231"/>
      <c r="FX18" s="231"/>
      <c r="FY18" s="231"/>
      <c r="FZ18" s="231"/>
      <c r="GA18" s="231"/>
      <c r="GB18" s="231"/>
      <c r="GC18" s="231"/>
      <c r="GD18" s="231"/>
      <c r="GE18" s="231"/>
      <c r="GF18" s="231"/>
      <c r="GG18" s="231"/>
      <c r="GH18" s="231"/>
      <c r="GI18" s="231"/>
      <c r="GJ18" s="231"/>
      <c r="GK18" s="231"/>
      <c r="GL18" s="231"/>
      <c r="GM18" s="231"/>
      <c r="GN18" s="231"/>
      <c r="GO18" s="231"/>
      <c r="GP18" s="231"/>
      <c r="GQ18" s="231"/>
      <c r="GR18" s="231"/>
      <c r="GS18" s="231"/>
      <c r="GT18" s="231"/>
      <c r="GU18" s="231"/>
      <c r="GV18" s="231"/>
      <c r="GW18" s="231"/>
      <c r="GX18" s="231"/>
      <c r="GY18" s="231"/>
      <c r="GZ18" s="231"/>
      <c r="HA18" s="231"/>
      <c r="HB18" s="231"/>
      <c r="HC18" s="231"/>
      <c r="HD18" s="231"/>
      <c r="HE18" s="231"/>
      <c r="HF18" s="231"/>
      <c r="HG18" s="231"/>
      <c r="HH18" s="231"/>
      <c r="HI18" s="231"/>
      <c r="HJ18" s="231"/>
      <c r="HK18" s="231"/>
      <c r="HL18" s="231"/>
      <c r="HM18" s="231"/>
      <c r="HN18" s="231"/>
      <c r="HO18" s="231"/>
      <c r="HP18" s="231"/>
      <c r="HQ18" s="231"/>
      <c r="HR18" s="231"/>
      <c r="HS18" s="231"/>
      <c r="HT18" s="231"/>
      <c r="HU18" s="231"/>
      <c r="HV18" s="231"/>
      <c r="HW18" s="231"/>
      <c r="HX18" s="231"/>
      <c r="HY18" s="231"/>
      <c r="HZ18" s="231"/>
      <c r="IA18" s="231"/>
      <c r="IB18" s="231"/>
      <c r="IC18" s="231"/>
      <c r="ID18" s="231"/>
      <c r="IE18" s="231"/>
      <c r="IF18" s="231"/>
      <c r="IG18" s="231"/>
      <c r="IH18" s="231"/>
      <c r="II18" s="231"/>
      <c r="IJ18" s="231"/>
      <c r="IK18" s="231"/>
      <c r="IL18" s="231"/>
      <c r="IM18" s="231"/>
      <c r="IN18" s="231"/>
      <c r="IO18" s="231"/>
      <c r="IP18" s="231"/>
      <c r="IQ18" s="231"/>
      <c r="IR18" s="231"/>
      <c r="IS18" s="231"/>
      <c r="IT18" s="231"/>
      <c r="IU18" s="231"/>
      <c r="IV18" s="231"/>
      <c r="IW18" s="231"/>
      <c r="IX18" s="231"/>
      <c r="IY18" s="231"/>
      <c r="IZ18" s="231"/>
      <c r="JA18" s="231"/>
      <c r="JB18" s="231"/>
      <c r="JC18" s="231"/>
      <c r="JD18" s="231"/>
      <c r="JE18" s="231"/>
      <c r="JF18" s="231"/>
      <c r="JG18" s="231"/>
      <c r="JH18" s="231"/>
      <c r="JI18" s="231"/>
      <c r="JJ18" s="231"/>
      <c r="JK18" s="231"/>
      <c r="JL18" s="231"/>
      <c r="JM18" s="231"/>
      <c r="JN18" s="231"/>
      <c r="JO18" s="231"/>
      <c r="JP18" s="231"/>
      <c r="JQ18" s="231"/>
      <c r="JR18" s="231"/>
      <c r="JS18" s="231"/>
      <c r="JT18" s="231"/>
      <c r="JU18" s="231"/>
      <c r="JV18" s="231"/>
      <c r="JW18" s="231"/>
      <c r="JX18" s="231"/>
      <c r="JY18" s="231"/>
      <c r="JZ18" s="231"/>
      <c r="KA18" s="231"/>
      <c r="KB18" s="231"/>
      <c r="KC18" s="231"/>
      <c r="KD18" s="231"/>
      <c r="KE18" s="231"/>
      <c r="KF18" s="231"/>
      <c r="KG18" s="231"/>
      <c r="KH18" s="231"/>
      <c r="KI18" s="231"/>
      <c r="KJ18" s="231"/>
      <c r="KK18" s="76"/>
      <c r="KL18"/>
      <c r="KM18"/>
      <c r="KN18"/>
      <c r="KO18"/>
      <c r="KP18"/>
      <c r="KQ18"/>
      <c r="KR18"/>
      <c r="KS18"/>
      <c r="KT18"/>
    </row>
    <row r="19" spans="1:306" s="172" customFormat="1" ht="18" customHeight="1">
      <c r="A19" s="153" t="s">
        <v>167</v>
      </c>
      <c r="B19" s="153">
        <v>11</v>
      </c>
      <c r="C19" s="153"/>
      <c r="D19" s="153"/>
      <c r="E19" s="153"/>
      <c r="F19" s="153"/>
      <c r="G19" s="153">
        <v>1</v>
      </c>
      <c r="H19" s="216"/>
      <c r="I19" s="217" t="s">
        <v>169</v>
      </c>
      <c r="J19" s="218" t="s">
        <v>308</v>
      </c>
      <c r="K19" s="219" t="s">
        <v>307</v>
      </c>
      <c r="L19" s="220" t="s">
        <v>168</v>
      </c>
      <c r="M19" s="221" t="s">
        <v>56</v>
      </c>
      <c r="N19" s="222"/>
      <c r="O19" s="223"/>
      <c r="P19" s="224"/>
      <c r="Q19" s="224"/>
      <c r="R19" s="225"/>
      <c r="S19" s="224">
        <v>44677.458333333336</v>
      </c>
      <c r="T19" s="224">
        <v>44679.541666666664</v>
      </c>
      <c r="U19" s="226">
        <v>20</v>
      </c>
      <c r="V19" s="222"/>
      <c r="W19" s="227">
        <v>100</v>
      </c>
      <c r="X19" s="228">
        <v>1</v>
      </c>
      <c r="Y19" s="224"/>
      <c r="Z19" s="224"/>
      <c r="AA19" s="225"/>
      <c r="AB19" s="223"/>
      <c r="AC19" s="223"/>
      <c r="AD19" s="223"/>
      <c r="AE19" s="229"/>
      <c r="AF19" s="222"/>
      <c r="AG19" s="222"/>
      <c r="AH19" s="222"/>
      <c r="AI19" s="222"/>
      <c r="AJ19" s="222"/>
      <c r="AK19" s="222"/>
      <c r="AL19" s="222"/>
      <c r="AM19" s="222"/>
      <c r="AN19" s="222"/>
      <c r="AO19" s="222"/>
      <c r="AP19" s="222"/>
      <c r="AQ19" s="222"/>
      <c r="AR19" s="222"/>
      <c r="AS19" s="222"/>
      <c r="AT19" s="222"/>
      <c r="AU19" s="222"/>
      <c r="AV19" s="222"/>
      <c r="AW19" s="222"/>
      <c r="AX19" s="222"/>
      <c r="AY19" s="222"/>
      <c r="AZ19" s="222"/>
      <c r="BA19" s="222"/>
      <c r="BB19" s="222"/>
      <c r="BC19" s="222"/>
      <c r="BD19" s="230"/>
      <c r="BE19" s="231"/>
      <c r="BF19" s="231"/>
      <c r="BG19" s="231"/>
      <c r="BH19" s="231"/>
      <c r="BI19" s="231"/>
      <c r="BJ19" s="231"/>
      <c r="BK19" s="231"/>
      <c r="BL19" s="231"/>
      <c r="BM19" s="231"/>
      <c r="BN19" s="231"/>
      <c r="BO19" s="231"/>
      <c r="BP19" s="231"/>
      <c r="BQ19" s="231"/>
      <c r="BR19" s="231"/>
      <c r="BS19" s="231"/>
      <c r="BT19" s="231"/>
      <c r="BU19" s="231"/>
      <c r="BV19" s="231"/>
      <c r="BW19" s="231"/>
      <c r="BX19" s="231"/>
      <c r="BY19" s="231"/>
      <c r="BZ19" s="231"/>
      <c r="CA19" s="231"/>
      <c r="CB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c r="DG19" s="231"/>
      <c r="DH19" s="231"/>
      <c r="DI19" s="231"/>
      <c r="DJ19" s="231"/>
      <c r="DK19" s="231"/>
      <c r="DL19" s="231"/>
      <c r="DM19" s="231"/>
      <c r="DN19" s="231"/>
      <c r="DO19" s="231"/>
      <c r="DP19" s="231"/>
      <c r="DQ19" s="231"/>
      <c r="DR19" s="231"/>
      <c r="DS19" s="231"/>
      <c r="DT19" s="231"/>
      <c r="DU19" s="231"/>
      <c r="DV19" s="231"/>
      <c r="DW19" s="231"/>
      <c r="DX19" s="231"/>
      <c r="DY19" s="231"/>
      <c r="DZ19" s="231"/>
      <c r="EA19" s="231"/>
      <c r="EB19" s="231"/>
      <c r="EC19" s="231"/>
      <c r="ED19" s="231"/>
      <c r="EE19" s="231"/>
      <c r="EF19" s="231"/>
      <c r="EG19" s="231"/>
      <c r="EH19" s="231"/>
      <c r="EI19" s="231"/>
      <c r="EJ19" s="231"/>
      <c r="EK19" s="231"/>
      <c r="EL19" s="231"/>
      <c r="EM19" s="231"/>
      <c r="EN19" s="231"/>
      <c r="EO19" s="231"/>
      <c r="EP19" s="231"/>
      <c r="EQ19" s="231"/>
      <c r="ER19" s="231"/>
      <c r="ES19" s="231"/>
      <c r="ET19" s="231"/>
      <c r="EU19" s="231"/>
      <c r="EV19" s="231"/>
      <c r="EW19" s="231"/>
      <c r="EX19" s="231"/>
      <c r="EY19" s="231"/>
      <c r="EZ19" s="231"/>
      <c r="FA19" s="231"/>
      <c r="FB19" s="231"/>
      <c r="FC19" s="231"/>
      <c r="FD19" s="231"/>
      <c r="FE19" s="231"/>
      <c r="FF19" s="231"/>
      <c r="FG19" s="231"/>
      <c r="FH19" s="231"/>
      <c r="FI19" s="231"/>
      <c r="FJ19" s="231"/>
      <c r="FK19" s="231"/>
      <c r="FL19" s="231"/>
      <c r="FM19" s="231"/>
      <c r="FN19" s="231"/>
      <c r="FO19" s="231"/>
      <c r="FP19" s="231"/>
      <c r="FQ19" s="231"/>
      <c r="FR19" s="231"/>
      <c r="FS19" s="231"/>
      <c r="FT19" s="231"/>
      <c r="FU19" s="231"/>
      <c r="FV19" s="231"/>
      <c r="FW19" s="231"/>
      <c r="FX19" s="231"/>
      <c r="FY19" s="231"/>
      <c r="FZ19" s="231"/>
      <c r="GA19" s="231"/>
      <c r="GB19" s="231"/>
      <c r="GC19" s="231"/>
      <c r="GD19" s="231"/>
      <c r="GE19" s="231"/>
      <c r="GF19" s="231"/>
      <c r="GG19" s="231"/>
      <c r="GH19" s="231"/>
      <c r="GI19" s="231"/>
      <c r="GJ19" s="231"/>
      <c r="GK19" s="231"/>
      <c r="GL19" s="231"/>
      <c r="GM19" s="231"/>
      <c r="GN19" s="231"/>
      <c r="GO19" s="231"/>
      <c r="GP19" s="231"/>
      <c r="GQ19" s="231"/>
      <c r="GR19" s="231"/>
      <c r="GS19" s="231"/>
      <c r="GT19" s="231"/>
      <c r="GU19" s="231"/>
      <c r="GV19" s="231"/>
      <c r="GW19" s="231"/>
      <c r="GX19" s="231"/>
      <c r="GY19" s="231"/>
      <c r="GZ19" s="231"/>
      <c r="HA19" s="231"/>
      <c r="HB19" s="231"/>
      <c r="HC19" s="231"/>
      <c r="HD19" s="231"/>
      <c r="HE19" s="231"/>
      <c r="HF19" s="231"/>
      <c r="HG19" s="231"/>
      <c r="HH19" s="231"/>
      <c r="HI19" s="231"/>
      <c r="HJ19" s="231"/>
      <c r="HK19" s="231"/>
      <c r="HL19" s="231"/>
      <c r="HM19" s="231"/>
      <c r="HN19" s="231"/>
      <c r="HO19" s="231"/>
      <c r="HP19" s="231"/>
      <c r="HQ19" s="231"/>
      <c r="HR19" s="231"/>
      <c r="HS19" s="231"/>
      <c r="HT19" s="231"/>
      <c r="HU19" s="231"/>
      <c r="HV19" s="231"/>
      <c r="HW19" s="231"/>
      <c r="HX19" s="231"/>
      <c r="HY19" s="231"/>
      <c r="HZ19" s="231"/>
      <c r="IA19" s="231"/>
      <c r="IB19" s="231"/>
      <c r="IC19" s="231"/>
      <c r="ID19" s="231"/>
      <c r="IE19" s="231"/>
      <c r="IF19" s="231"/>
      <c r="IG19" s="231"/>
      <c r="IH19" s="231"/>
      <c r="II19" s="231"/>
      <c r="IJ19" s="231"/>
      <c r="IK19" s="231"/>
      <c r="IL19" s="231"/>
      <c r="IM19" s="231"/>
      <c r="IN19" s="231"/>
      <c r="IO19" s="231"/>
      <c r="IP19" s="231"/>
      <c r="IQ19" s="231"/>
      <c r="IR19" s="231"/>
      <c r="IS19" s="231"/>
      <c r="IT19" s="231"/>
      <c r="IU19" s="231"/>
      <c r="IV19" s="231"/>
      <c r="IW19" s="231"/>
      <c r="IX19" s="231"/>
      <c r="IY19" s="231"/>
      <c r="IZ19" s="231"/>
      <c r="JA19" s="231"/>
      <c r="JB19" s="231"/>
      <c r="JC19" s="231"/>
      <c r="JD19" s="231"/>
      <c r="JE19" s="231"/>
      <c r="JF19" s="231"/>
      <c r="JG19" s="231"/>
      <c r="JH19" s="231"/>
      <c r="JI19" s="231"/>
      <c r="JJ19" s="231"/>
      <c r="JK19" s="231"/>
      <c r="JL19" s="231"/>
      <c r="JM19" s="231"/>
      <c r="JN19" s="231"/>
      <c r="JO19" s="231"/>
      <c r="JP19" s="231"/>
      <c r="JQ19" s="231"/>
      <c r="JR19" s="231"/>
      <c r="JS19" s="231"/>
      <c r="JT19" s="231"/>
      <c r="JU19" s="231"/>
      <c r="JV19" s="231"/>
      <c r="JW19" s="231"/>
      <c r="JX19" s="231"/>
      <c r="JY19" s="231"/>
      <c r="JZ19" s="231"/>
      <c r="KA19" s="231"/>
      <c r="KB19" s="231"/>
      <c r="KC19" s="231"/>
      <c r="KD19" s="231"/>
      <c r="KE19" s="231"/>
      <c r="KF19" s="231"/>
      <c r="KG19" s="231"/>
      <c r="KH19" s="231"/>
      <c r="KI19" s="231"/>
      <c r="KJ19" s="231"/>
      <c r="KK19" s="76"/>
      <c r="KL19"/>
      <c r="KM19"/>
      <c r="KN19"/>
      <c r="KO19"/>
      <c r="KP19"/>
      <c r="KQ19"/>
      <c r="KR19"/>
      <c r="KS19"/>
      <c r="KT19"/>
    </row>
    <row r="20" spans="1:306" s="172" customFormat="1" ht="18" customHeight="1">
      <c r="A20" s="153" t="s">
        <v>167</v>
      </c>
      <c r="B20" s="153">
        <v>12</v>
      </c>
      <c r="C20" s="153"/>
      <c r="D20" s="153"/>
      <c r="E20" s="153"/>
      <c r="F20" s="153"/>
      <c r="G20" s="153">
        <v>1</v>
      </c>
      <c r="H20" s="179"/>
      <c r="I20" s="180" t="s">
        <v>169</v>
      </c>
      <c r="J20" s="181" t="s">
        <v>310</v>
      </c>
      <c r="K20" s="182" t="s">
        <v>309</v>
      </c>
      <c r="L20" s="183" t="s">
        <v>168</v>
      </c>
      <c r="M20" s="184" t="s">
        <v>56</v>
      </c>
      <c r="N20" s="185"/>
      <c r="O20" s="186"/>
      <c r="P20" s="187"/>
      <c r="Q20" s="187"/>
      <c r="R20" s="188"/>
      <c r="S20" s="187">
        <v>44679.541666666664</v>
      </c>
      <c r="T20" s="187">
        <v>44679.75</v>
      </c>
      <c r="U20" s="189">
        <v>5</v>
      </c>
      <c r="V20" s="185"/>
      <c r="W20" s="190">
        <v>100</v>
      </c>
      <c r="X20" s="191">
        <v>1</v>
      </c>
      <c r="Y20" s="187"/>
      <c r="Z20" s="187"/>
      <c r="AA20" s="188"/>
      <c r="AB20" s="186"/>
      <c r="AC20" s="186"/>
      <c r="AD20" s="186"/>
      <c r="AE20" s="192"/>
      <c r="AF20" s="185"/>
      <c r="AG20" s="185"/>
      <c r="AH20" s="185"/>
      <c r="AI20" s="185"/>
      <c r="AJ20" s="185"/>
      <c r="AK20" s="185"/>
      <c r="AL20" s="185"/>
      <c r="AM20" s="185"/>
      <c r="AN20" s="185"/>
      <c r="AO20" s="185"/>
      <c r="AP20" s="185"/>
      <c r="AQ20" s="185"/>
      <c r="AR20" s="185"/>
      <c r="AS20" s="185"/>
      <c r="AT20" s="185"/>
      <c r="AU20" s="185"/>
      <c r="AV20" s="185"/>
      <c r="AW20" s="185"/>
      <c r="AX20" s="185"/>
      <c r="AY20" s="185"/>
      <c r="AZ20" s="185"/>
      <c r="BA20" s="185"/>
      <c r="BB20" s="185"/>
      <c r="BC20" s="185"/>
      <c r="BD20" s="193"/>
      <c r="BE20" s="194"/>
      <c r="BF20" s="194"/>
      <c r="BG20" s="194"/>
      <c r="BH20" s="194"/>
      <c r="BI20" s="194"/>
      <c r="BJ20" s="194"/>
      <c r="BK20" s="194"/>
      <c r="BL20" s="194"/>
      <c r="BM20" s="194"/>
      <c r="BN20" s="194"/>
      <c r="BO20" s="194"/>
      <c r="BP20" s="194"/>
      <c r="BQ20" s="194"/>
      <c r="BR20" s="194"/>
      <c r="BS20" s="194"/>
      <c r="BT20" s="194"/>
      <c r="BU20" s="194"/>
      <c r="BV20" s="194"/>
      <c r="BW20" s="194"/>
      <c r="BX20" s="194"/>
      <c r="BY20" s="194"/>
      <c r="BZ20" s="194"/>
      <c r="CA20" s="194"/>
      <c r="CB20" s="194"/>
      <c r="CC20" s="194"/>
      <c r="CD20" s="194"/>
      <c r="CE20" s="194"/>
      <c r="CF20" s="194"/>
      <c r="CG20" s="194"/>
      <c r="CH20" s="194"/>
      <c r="CI20" s="194"/>
      <c r="CJ20" s="194"/>
      <c r="CK20" s="194"/>
      <c r="CL20" s="194"/>
      <c r="CM20" s="194"/>
      <c r="CN20" s="194"/>
      <c r="CO20" s="194"/>
      <c r="CP20" s="194"/>
      <c r="CQ20" s="194"/>
      <c r="CR20" s="194"/>
      <c r="CS20" s="194"/>
      <c r="CT20" s="194"/>
      <c r="CU20" s="194"/>
      <c r="CV20" s="194"/>
      <c r="CW20" s="194"/>
      <c r="CX20" s="194"/>
      <c r="CY20" s="194"/>
      <c r="CZ20" s="194"/>
      <c r="DA20" s="194"/>
      <c r="DB20" s="194"/>
      <c r="DC20" s="194"/>
      <c r="DD20" s="194"/>
      <c r="DE20" s="194"/>
      <c r="DF20" s="194"/>
      <c r="DG20" s="194"/>
      <c r="DH20" s="194"/>
      <c r="DI20" s="194"/>
      <c r="DJ20" s="194"/>
      <c r="DK20" s="194"/>
      <c r="DL20" s="194"/>
      <c r="DM20" s="194"/>
      <c r="DN20" s="194"/>
      <c r="DO20" s="194"/>
      <c r="DP20" s="194"/>
      <c r="DQ20" s="194"/>
      <c r="DR20" s="194"/>
      <c r="DS20" s="194"/>
      <c r="DT20" s="194"/>
      <c r="DU20" s="194"/>
      <c r="DV20" s="194"/>
      <c r="DW20" s="194"/>
      <c r="DX20" s="194"/>
      <c r="DY20" s="194"/>
      <c r="DZ20" s="194"/>
      <c r="EA20" s="194"/>
      <c r="EB20" s="194"/>
      <c r="EC20" s="194"/>
      <c r="ED20" s="194"/>
      <c r="EE20" s="194"/>
      <c r="EF20" s="194"/>
      <c r="EG20" s="194"/>
      <c r="EH20" s="194"/>
      <c r="EI20" s="194"/>
      <c r="EJ20" s="194"/>
      <c r="EK20" s="194"/>
      <c r="EL20" s="194"/>
      <c r="EM20" s="194"/>
      <c r="EN20" s="194"/>
      <c r="EO20" s="194"/>
      <c r="EP20" s="194"/>
      <c r="EQ20" s="194"/>
      <c r="ER20" s="194"/>
      <c r="ES20" s="194"/>
      <c r="ET20" s="194"/>
      <c r="EU20" s="194"/>
      <c r="EV20" s="194"/>
      <c r="EW20" s="194"/>
      <c r="EX20" s="194"/>
      <c r="EY20" s="194"/>
      <c r="EZ20" s="194"/>
      <c r="FA20" s="194"/>
      <c r="FB20" s="194"/>
      <c r="FC20" s="194"/>
      <c r="FD20" s="194"/>
      <c r="FE20" s="194"/>
      <c r="FF20" s="194"/>
      <c r="FG20" s="194"/>
      <c r="FH20" s="194"/>
      <c r="FI20" s="194"/>
      <c r="FJ20" s="194"/>
      <c r="FK20" s="194"/>
      <c r="FL20" s="194"/>
      <c r="FM20" s="194"/>
      <c r="FN20" s="194"/>
      <c r="FO20" s="194"/>
      <c r="FP20" s="194"/>
      <c r="FQ20" s="194"/>
      <c r="FR20" s="194"/>
      <c r="FS20" s="194"/>
      <c r="FT20" s="194"/>
      <c r="FU20" s="194"/>
      <c r="FV20" s="194"/>
      <c r="FW20" s="194"/>
      <c r="FX20" s="194"/>
      <c r="FY20" s="194"/>
      <c r="FZ20" s="194"/>
      <c r="GA20" s="194"/>
      <c r="GB20" s="194"/>
      <c r="GC20" s="194"/>
      <c r="GD20" s="194"/>
      <c r="GE20" s="194"/>
      <c r="GF20" s="194"/>
      <c r="GG20" s="194"/>
      <c r="GH20" s="194"/>
      <c r="GI20" s="194"/>
      <c r="GJ20" s="194"/>
      <c r="GK20" s="194"/>
      <c r="GL20" s="194"/>
      <c r="GM20" s="194"/>
      <c r="GN20" s="194"/>
      <c r="GO20" s="194"/>
      <c r="GP20" s="194"/>
      <c r="GQ20" s="194"/>
      <c r="GR20" s="194"/>
      <c r="GS20" s="194"/>
      <c r="GT20" s="194"/>
      <c r="GU20" s="194"/>
      <c r="GV20" s="194"/>
      <c r="GW20" s="194"/>
      <c r="GX20" s="194"/>
      <c r="GY20" s="194"/>
      <c r="GZ20" s="194"/>
      <c r="HA20" s="194"/>
      <c r="HB20" s="194"/>
      <c r="HC20" s="194"/>
      <c r="HD20" s="194"/>
      <c r="HE20" s="194"/>
      <c r="HF20" s="194"/>
      <c r="HG20" s="194"/>
      <c r="HH20" s="194"/>
      <c r="HI20" s="194"/>
      <c r="HJ20" s="194"/>
      <c r="HK20" s="194"/>
      <c r="HL20" s="194"/>
      <c r="HM20" s="194"/>
      <c r="HN20" s="194"/>
      <c r="HO20" s="194"/>
      <c r="HP20" s="194"/>
      <c r="HQ20" s="194"/>
      <c r="HR20" s="194"/>
      <c r="HS20" s="194"/>
      <c r="HT20" s="194"/>
      <c r="HU20" s="194"/>
      <c r="HV20" s="194"/>
      <c r="HW20" s="194"/>
      <c r="HX20" s="194"/>
      <c r="HY20" s="194"/>
      <c r="HZ20" s="194"/>
      <c r="IA20" s="194"/>
      <c r="IB20" s="194"/>
      <c r="IC20" s="194"/>
      <c r="ID20" s="194"/>
      <c r="IE20" s="194"/>
      <c r="IF20" s="194"/>
      <c r="IG20" s="194"/>
      <c r="IH20" s="194"/>
      <c r="II20" s="194"/>
      <c r="IJ20" s="194"/>
      <c r="IK20" s="194"/>
      <c r="IL20" s="194"/>
      <c r="IM20" s="194"/>
      <c r="IN20" s="194"/>
      <c r="IO20" s="194"/>
      <c r="IP20" s="194"/>
      <c r="IQ20" s="194"/>
      <c r="IR20" s="194"/>
      <c r="IS20" s="194"/>
      <c r="IT20" s="194"/>
      <c r="IU20" s="194"/>
      <c r="IV20" s="194"/>
      <c r="IW20" s="194"/>
      <c r="IX20" s="194"/>
      <c r="IY20" s="194"/>
      <c r="IZ20" s="194"/>
      <c r="JA20" s="194"/>
      <c r="JB20" s="194"/>
      <c r="JC20" s="194"/>
      <c r="JD20" s="194"/>
      <c r="JE20" s="194"/>
      <c r="JF20" s="194"/>
      <c r="JG20" s="194"/>
      <c r="JH20" s="194"/>
      <c r="JI20" s="194"/>
      <c r="JJ20" s="194"/>
      <c r="JK20" s="194"/>
      <c r="JL20" s="194"/>
      <c r="JM20" s="194"/>
      <c r="JN20" s="194"/>
      <c r="JO20" s="194"/>
      <c r="JP20" s="194"/>
      <c r="JQ20" s="194"/>
      <c r="JR20" s="194"/>
      <c r="JS20" s="194"/>
      <c r="JT20" s="194"/>
      <c r="JU20" s="194"/>
      <c r="JV20" s="194"/>
      <c r="JW20" s="194"/>
      <c r="JX20" s="194"/>
      <c r="JY20" s="194"/>
      <c r="JZ20" s="194"/>
      <c r="KA20" s="194"/>
      <c r="KB20" s="194"/>
      <c r="KC20" s="194"/>
      <c r="KD20" s="194"/>
      <c r="KE20" s="194"/>
      <c r="KF20" s="194"/>
      <c r="KG20" s="194"/>
      <c r="KH20" s="194"/>
      <c r="KI20" s="194"/>
      <c r="KJ20" s="194"/>
      <c r="KK20" s="149"/>
      <c r="KL20"/>
      <c r="KM20"/>
      <c r="KN20"/>
      <c r="KO20"/>
      <c r="KP20"/>
      <c r="KQ20"/>
      <c r="KR20"/>
      <c r="KS20"/>
      <c r="KT20"/>
    </row>
    <row r="21" spans="1:306" s="172" customFormat="1" ht="18" customHeight="1">
      <c r="A21" s="153" t="s">
        <v>167</v>
      </c>
      <c r="B21" s="153">
        <v>13</v>
      </c>
      <c r="C21" s="153"/>
      <c r="D21" s="153"/>
      <c r="E21" s="153"/>
      <c r="F21" s="153"/>
      <c r="G21" s="153">
        <v>1</v>
      </c>
      <c r="H21" s="173"/>
      <c r="I21" s="175" t="s">
        <v>169</v>
      </c>
      <c r="J21" s="161" t="s">
        <v>312</v>
      </c>
      <c r="K21" s="178" t="s">
        <v>311</v>
      </c>
      <c r="L21" s="163" t="s">
        <v>168</v>
      </c>
      <c r="M21" s="164" t="s">
        <v>56</v>
      </c>
      <c r="N21" s="162"/>
      <c r="O21" s="165"/>
      <c r="P21" s="166"/>
      <c r="Q21" s="166"/>
      <c r="R21" s="167"/>
      <c r="S21" s="166">
        <v>44680.375</v>
      </c>
      <c r="T21" s="166">
        <v>44680.75</v>
      </c>
      <c r="U21" s="176">
        <v>9</v>
      </c>
      <c r="V21" s="162"/>
      <c r="W21" s="168">
        <v>100</v>
      </c>
      <c r="X21" s="169">
        <v>1</v>
      </c>
      <c r="Y21" s="166"/>
      <c r="Z21" s="166"/>
      <c r="AA21" s="167"/>
      <c r="AB21" s="165"/>
      <c r="AC21" s="165"/>
      <c r="AD21" s="165"/>
      <c r="AE21" s="170"/>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71"/>
      <c r="BE21" s="174"/>
      <c r="BF21" s="174"/>
      <c r="BG21" s="174"/>
      <c r="BH21" s="174"/>
      <c r="BI21" s="174"/>
      <c r="BJ21" s="174"/>
      <c r="BK21" s="174"/>
      <c r="BL21" s="174"/>
      <c r="BM21" s="174"/>
      <c r="BN21" s="174"/>
      <c r="BO21" s="174"/>
      <c r="BP21" s="174"/>
      <c r="BQ21" s="174"/>
      <c r="BR21" s="174"/>
      <c r="BS21" s="174"/>
      <c r="BT21" s="174"/>
      <c r="BU21" s="174"/>
      <c r="BV21" s="174"/>
      <c r="BW21" s="174"/>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c r="DZ21" s="174"/>
      <c r="EA21" s="174"/>
      <c r="EB21" s="174"/>
      <c r="EC21" s="174"/>
      <c r="ED21" s="174"/>
      <c r="EE21" s="174"/>
      <c r="EF21" s="174"/>
      <c r="EG21" s="174"/>
      <c r="EH21" s="174"/>
      <c r="EI21" s="174"/>
      <c r="EJ21" s="174"/>
      <c r="EK21" s="174"/>
      <c r="EL21" s="174"/>
      <c r="EM21" s="174"/>
      <c r="EN21" s="174"/>
      <c r="EO21" s="174"/>
      <c r="EP21" s="174"/>
      <c r="EQ21" s="174"/>
      <c r="ER21" s="174"/>
      <c r="ES21" s="174"/>
      <c r="ET21" s="174"/>
      <c r="EU21" s="174"/>
      <c r="EV21" s="174"/>
      <c r="EW21" s="174"/>
      <c r="EX21" s="174"/>
      <c r="EY21" s="174"/>
      <c r="EZ21" s="174"/>
      <c r="FA21" s="174"/>
      <c r="FB21" s="174"/>
      <c r="FC21" s="174"/>
      <c r="FD21" s="174"/>
      <c r="FE21" s="174"/>
      <c r="FF21" s="174"/>
      <c r="FG21" s="174"/>
      <c r="FH21" s="174"/>
      <c r="FI21" s="174"/>
      <c r="FJ21" s="174"/>
      <c r="FK21" s="174"/>
      <c r="FL21" s="174"/>
      <c r="FM21" s="174"/>
      <c r="FN21" s="174"/>
      <c r="FO21" s="174"/>
      <c r="FP21" s="174"/>
      <c r="FQ21" s="174"/>
      <c r="FR21" s="174"/>
      <c r="FS21" s="174"/>
      <c r="FT21" s="174"/>
      <c r="FU21" s="174"/>
      <c r="FV21" s="174"/>
      <c r="FW21" s="174"/>
      <c r="FX21" s="174"/>
      <c r="FY21" s="174"/>
      <c r="FZ21" s="174"/>
      <c r="GA21" s="174"/>
      <c r="GB21" s="174"/>
      <c r="GC21" s="174"/>
      <c r="GD21" s="174"/>
      <c r="GE21" s="174"/>
      <c r="GF21" s="174"/>
      <c r="GG21" s="174"/>
      <c r="GH21" s="174"/>
      <c r="GI21" s="174"/>
      <c r="GJ21" s="174"/>
      <c r="GK21" s="174"/>
      <c r="GL21" s="174"/>
      <c r="GM21" s="174"/>
      <c r="GN21" s="174"/>
      <c r="GO21" s="174"/>
      <c r="GP21" s="174"/>
      <c r="GQ21" s="174"/>
      <c r="GR21" s="174"/>
      <c r="GS21" s="174"/>
      <c r="GT21" s="174"/>
      <c r="GU21" s="174"/>
      <c r="GV21" s="174"/>
      <c r="GW21" s="174"/>
      <c r="GX21" s="174"/>
      <c r="GY21" s="174"/>
      <c r="GZ21" s="174"/>
      <c r="HA21" s="174"/>
      <c r="HB21" s="174"/>
      <c r="HC21" s="174"/>
      <c r="HD21" s="174"/>
      <c r="HE21" s="174"/>
      <c r="HF21" s="174"/>
      <c r="HG21" s="174"/>
      <c r="HH21" s="174"/>
      <c r="HI21" s="174"/>
      <c r="HJ21" s="174"/>
      <c r="HK21" s="174"/>
      <c r="HL21" s="174"/>
      <c r="HM21" s="174"/>
      <c r="HN21" s="174"/>
      <c r="HO21" s="174"/>
      <c r="HP21" s="174"/>
      <c r="HQ21" s="174"/>
      <c r="HR21" s="174"/>
      <c r="HS21" s="174"/>
      <c r="HT21" s="174"/>
      <c r="HU21" s="174"/>
      <c r="HV21" s="174"/>
      <c r="HW21" s="174"/>
      <c r="HX21" s="174"/>
      <c r="HY21" s="174"/>
      <c r="HZ21" s="174"/>
      <c r="IA21" s="174"/>
      <c r="IB21" s="174"/>
      <c r="IC21" s="174"/>
      <c r="ID21" s="174"/>
      <c r="IE21" s="174"/>
      <c r="IF21" s="174"/>
      <c r="IG21" s="174"/>
      <c r="IH21" s="174"/>
      <c r="II21" s="174"/>
      <c r="IJ21" s="174"/>
      <c r="IK21" s="174"/>
      <c r="IL21" s="174"/>
      <c r="IM21" s="174"/>
      <c r="IN21" s="174"/>
      <c r="IO21" s="174"/>
      <c r="IP21" s="174"/>
      <c r="IQ21" s="174"/>
      <c r="IR21" s="174"/>
      <c r="IS21" s="174"/>
      <c r="IT21" s="174"/>
      <c r="IU21" s="174"/>
      <c r="IV21" s="174"/>
      <c r="IW21" s="174"/>
      <c r="IX21" s="174"/>
      <c r="IY21" s="174"/>
      <c r="IZ21" s="174"/>
      <c r="JA21" s="174"/>
      <c r="JB21" s="174"/>
      <c r="JC21" s="174"/>
      <c r="JD21" s="174"/>
      <c r="JE21" s="174"/>
      <c r="JF21" s="174"/>
      <c r="JG21" s="174"/>
      <c r="JH21" s="174"/>
      <c r="JI21" s="174"/>
      <c r="JJ21" s="174"/>
      <c r="JK21" s="174"/>
      <c r="JL21" s="174"/>
      <c r="JM21" s="174"/>
      <c r="JN21" s="174"/>
      <c r="JO21" s="174"/>
      <c r="JP21" s="174"/>
      <c r="JQ21" s="174"/>
      <c r="JR21" s="174"/>
      <c r="JS21" s="174"/>
      <c r="JT21" s="174"/>
      <c r="JU21" s="174"/>
      <c r="JV21" s="174"/>
      <c r="JW21" s="174"/>
      <c r="JX21" s="174"/>
      <c r="JY21" s="174"/>
      <c r="JZ21" s="174"/>
      <c r="KA21" s="174"/>
      <c r="KB21" s="174"/>
      <c r="KC21" s="174"/>
      <c r="KD21" s="174"/>
      <c r="KE21" s="174"/>
      <c r="KF21" s="174"/>
      <c r="KG21" s="174"/>
      <c r="KH21" s="174"/>
      <c r="KI21" s="174"/>
      <c r="KJ21" s="174"/>
      <c r="KK21" s="149"/>
      <c r="KL21"/>
      <c r="KM21"/>
      <c r="KN21"/>
      <c r="KO21"/>
      <c r="KP21"/>
      <c r="KQ21"/>
      <c r="KR21"/>
      <c r="KS21"/>
      <c r="KT21"/>
    </row>
    <row r="22" spans="1:306" s="172" customFormat="1" ht="18" customHeight="1">
      <c r="A22" s="153" t="s">
        <v>167</v>
      </c>
      <c r="B22" s="153">
        <v>14</v>
      </c>
      <c r="C22" s="153"/>
      <c r="D22" s="153"/>
      <c r="E22" s="153"/>
      <c r="F22" s="153"/>
      <c r="G22" s="153">
        <v>1</v>
      </c>
      <c r="H22" s="173"/>
      <c r="I22" s="175" t="s">
        <v>169</v>
      </c>
      <c r="J22" s="161" t="s">
        <v>313</v>
      </c>
      <c r="K22" s="178" t="s">
        <v>311</v>
      </c>
      <c r="L22" s="163" t="s">
        <v>168</v>
      </c>
      <c r="M22" s="164" t="s">
        <v>56</v>
      </c>
      <c r="N22" s="162"/>
      <c r="O22" s="165"/>
      <c r="P22" s="166"/>
      <c r="Q22" s="166"/>
      <c r="R22" s="167"/>
      <c r="S22" s="166">
        <v>44685.375</v>
      </c>
      <c r="T22" s="166">
        <v>44687.5</v>
      </c>
      <c r="U22" s="176">
        <v>21</v>
      </c>
      <c r="V22" s="162"/>
      <c r="W22" s="168">
        <v>100</v>
      </c>
      <c r="X22" s="169">
        <v>1</v>
      </c>
      <c r="Y22" s="166"/>
      <c r="Z22" s="166"/>
      <c r="AA22" s="167"/>
      <c r="AB22" s="165"/>
      <c r="AC22" s="165"/>
      <c r="AD22" s="165"/>
      <c r="AE22" s="170"/>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71"/>
      <c r="BE22" s="174"/>
      <c r="BF22" s="174"/>
      <c r="BG22" s="174"/>
      <c r="BH22" s="174"/>
      <c r="BI22" s="174"/>
      <c r="BJ22" s="174"/>
      <c r="BK22" s="174"/>
      <c r="BL22" s="174"/>
      <c r="BM22" s="174"/>
      <c r="BN22" s="174"/>
      <c r="BO22" s="174"/>
      <c r="BP22" s="174"/>
      <c r="BQ22" s="174"/>
      <c r="BR22" s="174"/>
      <c r="BS22" s="174"/>
      <c r="BT22" s="174"/>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c r="DZ22" s="174"/>
      <c r="EA22" s="174"/>
      <c r="EB22" s="174"/>
      <c r="EC22" s="174"/>
      <c r="ED22" s="174"/>
      <c r="EE22" s="174"/>
      <c r="EF22" s="174"/>
      <c r="EG22" s="174"/>
      <c r="EH22" s="174"/>
      <c r="EI22" s="174"/>
      <c r="EJ22" s="174"/>
      <c r="EK22" s="174"/>
      <c r="EL22" s="174"/>
      <c r="EM22" s="174"/>
      <c r="EN22" s="174"/>
      <c r="EO22" s="174"/>
      <c r="EP22" s="174"/>
      <c r="EQ22" s="174"/>
      <c r="ER22" s="174"/>
      <c r="ES22" s="174"/>
      <c r="ET22" s="174"/>
      <c r="EU22" s="174"/>
      <c r="EV22" s="174"/>
      <c r="EW22" s="174"/>
      <c r="EX22" s="174"/>
      <c r="EY22" s="174"/>
      <c r="EZ22" s="174"/>
      <c r="FA22" s="174"/>
      <c r="FB22" s="174"/>
      <c r="FC22" s="174"/>
      <c r="FD22" s="174"/>
      <c r="FE22" s="174"/>
      <c r="FF22" s="174"/>
      <c r="FG22" s="174"/>
      <c r="FH22" s="174"/>
      <c r="FI22" s="174"/>
      <c r="FJ22" s="174"/>
      <c r="FK22" s="174"/>
      <c r="FL22" s="174"/>
      <c r="FM22" s="174"/>
      <c r="FN22" s="174"/>
      <c r="FO22" s="174"/>
      <c r="FP22" s="174"/>
      <c r="FQ22" s="174"/>
      <c r="FR22" s="174"/>
      <c r="FS22" s="174"/>
      <c r="FT22" s="174"/>
      <c r="FU22" s="174"/>
      <c r="FV22" s="174"/>
      <c r="FW22" s="174"/>
      <c r="FX22" s="174"/>
      <c r="FY22" s="174"/>
      <c r="FZ22" s="174"/>
      <c r="GA22" s="174"/>
      <c r="GB22" s="174"/>
      <c r="GC22" s="174"/>
      <c r="GD22" s="174"/>
      <c r="GE22" s="174"/>
      <c r="GF22" s="174"/>
      <c r="GG22" s="174"/>
      <c r="GH22" s="174"/>
      <c r="GI22" s="174"/>
      <c r="GJ22" s="174"/>
      <c r="GK22" s="174"/>
      <c r="GL22" s="174"/>
      <c r="GM22" s="174"/>
      <c r="GN22" s="174"/>
      <c r="GO22" s="174"/>
      <c r="GP22" s="174"/>
      <c r="GQ22" s="174"/>
      <c r="GR22" s="174"/>
      <c r="GS22" s="174"/>
      <c r="GT22" s="174"/>
      <c r="GU22" s="174"/>
      <c r="GV22" s="174"/>
      <c r="GW22" s="174"/>
      <c r="GX22" s="174"/>
      <c r="GY22" s="174"/>
      <c r="GZ22" s="174"/>
      <c r="HA22" s="174"/>
      <c r="HB22" s="174"/>
      <c r="HC22" s="174"/>
      <c r="HD22" s="174"/>
      <c r="HE22" s="174"/>
      <c r="HF22" s="174"/>
      <c r="HG22" s="174"/>
      <c r="HH22" s="174"/>
      <c r="HI22" s="174"/>
      <c r="HJ22" s="174"/>
      <c r="HK22" s="174"/>
      <c r="HL22" s="174"/>
      <c r="HM22" s="174"/>
      <c r="HN22" s="174"/>
      <c r="HO22" s="174"/>
      <c r="HP22" s="174"/>
      <c r="HQ22" s="174"/>
      <c r="HR22" s="174"/>
      <c r="HS22" s="174"/>
      <c r="HT22" s="174"/>
      <c r="HU22" s="174"/>
      <c r="HV22" s="174"/>
      <c r="HW22" s="174"/>
      <c r="HX22" s="174"/>
      <c r="HY22" s="174"/>
      <c r="HZ22" s="174"/>
      <c r="IA22" s="174"/>
      <c r="IB22" s="174"/>
      <c r="IC22" s="174"/>
      <c r="ID22" s="174"/>
      <c r="IE22" s="174"/>
      <c r="IF22" s="174"/>
      <c r="IG22" s="174"/>
      <c r="IH22" s="174"/>
      <c r="II22" s="174"/>
      <c r="IJ22" s="174"/>
      <c r="IK22" s="174"/>
      <c r="IL22" s="174"/>
      <c r="IM22" s="174"/>
      <c r="IN22" s="174"/>
      <c r="IO22" s="174"/>
      <c r="IP22" s="174"/>
      <c r="IQ22" s="174"/>
      <c r="IR22" s="174"/>
      <c r="IS22" s="174"/>
      <c r="IT22" s="174"/>
      <c r="IU22" s="174"/>
      <c r="IV22" s="174"/>
      <c r="IW22" s="174"/>
      <c r="IX22" s="174"/>
      <c r="IY22" s="174"/>
      <c r="IZ22" s="174"/>
      <c r="JA22" s="174"/>
      <c r="JB22" s="174"/>
      <c r="JC22" s="174"/>
      <c r="JD22" s="174"/>
      <c r="JE22" s="174"/>
      <c r="JF22" s="174"/>
      <c r="JG22" s="174"/>
      <c r="JH22" s="174"/>
      <c r="JI22" s="174"/>
      <c r="JJ22" s="174"/>
      <c r="JK22" s="174"/>
      <c r="JL22" s="174"/>
      <c r="JM22" s="174"/>
      <c r="JN22" s="174"/>
      <c r="JO22" s="174"/>
      <c r="JP22" s="174"/>
      <c r="JQ22" s="174"/>
      <c r="JR22" s="174"/>
      <c r="JS22" s="174"/>
      <c r="JT22" s="174"/>
      <c r="JU22" s="174"/>
      <c r="JV22" s="174"/>
      <c r="JW22" s="174"/>
      <c r="JX22" s="174"/>
      <c r="JY22" s="174"/>
      <c r="JZ22" s="174"/>
      <c r="KA22" s="174"/>
      <c r="KB22" s="174"/>
      <c r="KC22" s="174"/>
      <c r="KD22" s="174"/>
      <c r="KE22" s="174"/>
      <c r="KF22" s="174"/>
      <c r="KG22" s="174"/>
      <c r="KH22" s="174"/>
      <c r="KI22" s="174"/>
      <c r="KJ22" s="174"/>
      <c r="KK22" s="149"/>
      <c r="KL22"/>
      <c r="KM22"/>
      <c r="KN22"/>
      <c r="KO22"/>
      <c r="KP22"/>
      <c r="KQ22"/>
      <c r="KR22"/>
      <c r="KS22"/>
      <c r="KT22"/>
    </row>
    <row r="23" spans="1:306" s="172" customFormat="1" ht="18" customHeight="1">
      <c r="A23" s="153" t="s">
        <v>167</v>
      </c>
      <c r="B23" s="153">
        <v>15</v>
      </c>
      <c r="C23" s="153"/>
      <c r="D23" s="153"/>
      <c r="E23" s="153"/>
      <c r="F23" s="153"/>
      <c r="G23" s="153">
        <v>1</v>
      </c>
      <c r="H23" s="173"/>
      <c r="I23" s="175" t="s">
        <v>169</v>
      </c>
      <c r="J23" s="161" t="s">
        <v>315</v>
      </c>
      <c r="K23" s="178" t="s">
        <v>314</v>
      </c>
      <c r="L23" s="163" t="s">
        <v>168</v>
      </c>
      <c r="M23" s="164" t="s">
        <v>56</v>
      </c>
      <c r="N23" s="162"/>
      <c r="O23" s="165"/>
      <c r="P23" s="166"/>
      <c r="Q23" s="166"/>
      <c r="R23" s="167"/>
      <c r="S23" s="166">
        <v>44687.5</v>
      </c>
      <c r="T23" s="166">
        <v>44687.541666666664</v>
      </c>
      <c r="U23" s="176">
        <v>1</v>
      </c>
      <c r="V23" s="162"/>
      <c r="W23" s="168">
        <v>100</v>
      </c>
      <c r="X23" s="169">
        <v>1</v>
      </c>
      <c r="Y23" s="166"/>
      <c r="Z23" s="166"/>
      <c r="AA23" s="167"/>
      <c r="AB23" s="165"/>
      <c r="AC23" s="165"/>
      <c r="AD23" s="165"/>
      <c r="AE23" s="170"/>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71"/>
      <c r="BE23" s="174"/>
      <c r="BF23" s="174"/>
      <c r="BG23" s="174"/>
      <c r="BH23" s="174"/>
      <c r="BI23" s="174"/>
      <c r="BJ23" s="174"/>
      <c r="BK23" s="174"/>
      <c r="BL23" s="174"/>
      <c r="BM23" s="174"/>
      <c r="BN23" s="174"/>
      <c r="BO23" s="174"/>
      <c r="BP23" s="174"/>
      <c r="BQ23" s="174"/>
      <c r="BR23" s="174"/>
      <c r="BS23" s="174"/>
      <c r="BT23" s="174"/>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c r="DZ23" s="174"/>
      <c r="EA23" s="174"/>
      <c r="EB23" s="174"/>
      <c r="EC23" s="174"/>
      <c r="ED23" s="174"/>
      <c r="EE23" s="174"/>
      <c r="EF23" s="174"/>
      <c r="EG23" s="174"/>
      <c r="EH23" s="174"/>
      <c r="EI23" s="174"/>
      <c r="EJ23" s="174"/>
      <c r="EK23" s="174"/>
      <c r="EL23" s="174"/>
      <c r="EM23" s="174"/>
      <c r="EN23" s="174"/>
      <c r="EO23" s="174"/>
      <c r="EP23" s="174"/>
      <c r="EQ23" s="174"/>
      <c r="ER23" s="174"/>
      <c r="ES23" s="174"/>
      <c r="ET23" s="174"/>
      <c r="EU23" s="174"/>
      <c r="EV23" s="174"/>
      <c r="EW23" s="174"/>
      <c r="EX23" s="174"/>
      <c r="EY23" s="174"/>
      <c r="EZ23" s="174"/>
      <c r="FA23" s="174"/>
      <c r="FB23" s="174"/>
      <c r="FC23" s="174"/>
      <c r="FD23" s="174"/>
      <c r="FE23" s="174"/>
      <c r="FF23" s="174"/>
      <c r="FG23" s="174"/>
      <c r="FH23" s="174"/>
      <c r="FI23" s="174"/>
      <c r="FJ23" s="174"/>
      <c r="FK23" s="174"/>
      <c r="FL23" s="174"/>
      <c r="FM23" s="174"/>
      <c r="FN23" s="174"/>
      <c r="FO23" s="174"/>
      <c r="FP23" s="174"/>
      <c r="FQ23" s="174"/>
      <c r="FR23" s="174"/>
      <c r="FS23" s="174"/>
      <c r="FT23" s="174"/>
      <c r="FU23" s="174"/>
      <c r="FV23" s="174"/>
      <c r="FW23" s="174"/>
      <c r="FX23" s="174"/>
      <c r="FY23" s="174"/>
      <c r="FZ23" s="174"/>
      <c r="GA23" s="174"/>
      <c r="GB23" s="174"/>
      <c r="GC23" s="174"/>
      <c r="GD23" s="174"/>
      <c r="GE23" s="174"/>
      <c r="GF23" s="174"/>
      <c r="GG23" s="174"/>
      <c r="GH23" s="174"/>
      <c r="GI23" s="174"/>
      <c r="GJ23" s="174"/>
      <c r="GK23" s="174"/>
      <c r="GL23" s="174"/>
      <c r="GM23" s="174"/>
      <c r="GN23" s="174"/>
      <c r="GO23" s="174"/>
      <c r="GP23" s="174"/>
      <c r="GQ23" s="174"/>
      <c r="GR23" s="174"/>
      <c r="GS23" s="174"/>
      <c r="GT23" s="174"/>
      <c r="GU23" s="174"/>
      <c r="GV23" s="174"/>
      <c r="GW23" s="174"/>
      <c r="GX23" s="174"/>
      <c r="GY23" s="174"/>
      <c r="GZ23" s="174"/>
      <c r="HA23" s="174"/>
      <c r="HB23" s="174"/>
      <c r="HC23" s="174"/>
      <c r="HD23" s="174"/>
      <c r="HE23" s="174"/>
      <c r="HF23" s="174"/>
      <c r="HG23" s="174"/>
      <c r="HH23" s="174"/>
      <c r="HI23" s="174"/>
      <c r="HJ23" s="174"/>
      <c r="HK23" s="174"/>
      <c r="HL23" s="174"/>
      <c r="HM23" s="174"/>
      <c r="HN23" s="174"/>
      <c r="HO23" s="174"/>
      <c r="HP23" s="174"/>
      <c r="HQ23" s="174"/>
      <c r="HR23" s="174"/>
      <c r="HS23" s="174"/>
      <c r="HT23" s="174"/>
      <c r="HU23" s="174"/>
      <c r="HV23" s="174"/>
      <c r="HW23" s="174"/>
      <c r="HX23" s="174"/>
      <c r="HY23" s="174"/>
      <c r="HZ23" s="174"/>
      <c r="IA23" s="174"/>
      <c r="IB23" s="174"/>
      <c r="IC23" s="174"/>
      <c r="ID23" s="174"/>
      <c r="IE23" s="174"/>
      <c r="IF23" s="174"/>
      <c r="IG23" s="174"/>
      <c r="IH23" s="174"/>
      <c r="II23" s="174"/>
      <c r="IJ23" s="174"/>
      <c r="IK23" s="174"/>
      <c r="IL23" s="174"/>
      <c r="IM23" s="174"/>
      <c r="IN23" s="174"/>
      <c r="IO23" s="174"/>
      <c r="IP23" s="174"/>
      <c r="IQ23" s="174"/>
      <c r="IR23" s="174"/>
      <c r="IS23" s="174"/>
      <c r="IT23" s="174"/>
      <c r="IU23" s="174"/>
      <c r="IV23" s="174"/>
      <c r="IW23" s="174"/>
      <c r="IX23" s="174"/>
      <c r="IY23" s="174"/>
      <c r="IZ23" s="174"/>
      <c r="JA23" s="174"/>
      <c r="JB23" s="174"/>
      <c r="JC23" s="174"/>
      <c r="JD23" s="174"/>
      <c r="JE23" s="174"/>
      <c r="JF23" s="174"/>
      <c r="JG23" s="174"/>
      <c r="JH23" s="174"/>
      <c r="JI23" s="174"/>
      <c r="JJ23" s="174"/>
      <c r="JK23" s="174"/>
      <c r="JL23" s="174"/>
      <c r="JM23" s="174"/>
      <c r="JN23" s="174"/>
      <c r="JO23" s="174"/>
      <c r="JP23" s="174"/>
      <c r="JQ23" s="174"/>
      <c r="JR23" s="174"/>
      <c r="JS23" s="174"/>
      <c r="JT23" s="174"/>
      <c r="JU23" s="174"/>
      <c r="JV23" s="174"/>
      <c r="JW23" s="174"/>
      <c r="JX23" s="174"/>
      <c r="JY23" s="174"/>
      <c r="JZ23" s="174"/>
      <c r="KA23" s="174"/>
      <c r="KB23" s="174"/>
      <c r="KC23" s="174"/>
      <c r="KD23" s="174"/>
      <c r="KE23" s="174"/>
      <c r="KF23" s="174"/>
      <c r="KG23" s="174"/>
      <c r="KH23" s="174"/>
      <c r="KI23" s="174"/>
      <c r="KJ23" s="174"/>
      <c r="KK23" s="149"/>
      <c r="KL23"/>
      <c r="KM23"/>
      <c r="KN23"/>
      <c r="KO23"/>
      <c r="KP23"/>
      <c r="KQ23"/>
      <c r="KR23"/>
      <c r="KS23"/>
      <c r="KT23"/>
    </row>
    <row r="24" spans="1:306" s="172" customFormat="1" ht="18" customHeight="1">
      <c r="A24" s="153" t="s">
        <v>167</v>
      </c>
      <c r="B24" s="153">
        <v>16</v>
      </c>
      <c r="C24" s="153"/>
      <c r="D24" s="153"/>
      <c r="E24" s="153"/>
      <c r="F24" s="153"/>
      <c r="G24" s="153">
        <v>1</v>
      </c>
      <c r="H24" s="173"/>
      <c r="I24" s="175" t="s">
        <v>169</v>
      </c>
      <c r="J24" s="161" t="s">
        <v>317</v>
      </c>
      <c r="K24" s="178" t="s">
        <v>316</v>
      </c>
      <c r="L24" s="163" t="s">
        <v>168</v>
      </c>
      <c r="M24" s="164" t="s">
        <v>56</v>
      </c>
      <c r="N24" s="162" t="s">
        <v>319</v>
      </c>
      <c r="O24" s="165"/>
      <c r="P24" s="166"/>
      <c r="Q24" s="166"/>
      <c r="R24" s="167"/>
      <c r="S24" s="166">
        <v>44687.541666666664</v>
      </c>
      <c r="T24" s="166">
        <v>44687.75</v>
      </c>
      <c r="U24" s="176">
        <v>5</v>
      </c>
      <c r="V24" s="162"/>
      <c r="W24" s="168">
        <v>100</v>
      </c>
      <c r="X24" s="169">
        <v>1</v>
      </c>
      <c r="Y24" s="166"/>
      <c r="Z24" s="166"/>
      <c r="AA24" s="167"/>
      <c r="AB24" s="165"/>
      <c r="AC24" s="165"/>
      <c r="AD24" s="165"/>
      <c r="AE24" s="170"/>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71"/>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c r="DZ24" s="174"/>
      <c r="EA24" s="174"/>
      <c r="EB24" s="174"/>
      <c r="EC24" s="174"/>
      <c r="ED24" s="174"/>
      <c r="EE24" s="174"/>
      <c r="EF24" s="174"/>
      <c r="EG24" s="174"/>
      <c r="EH24" s="174"/>
      <c r="EI24" s="174"/>
      <c r="EJ24" s="174"/>
      <c r="EK24" s="174"/>
      <c r="EL24" s="174"/>
      <c r="EM24" s="174"/>
      <c r="EN24" s="174"/>
      <c r="EO24" s="174"/>
      <c r="EP24" s="174"/>
      <c r="EQ24" s="174"/>
      <c r="ER24" s="174"/>
      <c r="ES24" s="174"/>
      <c r="ET24" s="174"/>
      <c r="EU24" s="174"/>
      <c r="EV24" s="174"/>
      <c r="EW24" s="174"/>
      <c r="EX24" s="174"/>
      <c r="EY24" s="174"/>
      <c r="EZ24" s="174"/>
      <c r="FA24" s="174"/>
      <c r="FB24" s="174"/>
      <c r="FC24" s="174"/>
      <c r="FD24" s="174"/>
      <c r="FE24" s="174"/>
      <c r="FF24" s="174"/>
      <c r="FG24" s="174"/>
      <c r="FH24" s="174"/>
      <c r="FI24" s="174"/>
      <c r="FJ24" s="174"/>
      <c r="FK24" s="174"/>
      <c r="FL24" s="174"/>
      <c r="FM24" s="174"/>
      <c r="FN24" s="174"/>
      <c r="FO24" s="174"/>
      <c r="FP24" s="174"/>
      <c r="FQ24" s="174"/>
      <c r="FR24" s="174"/>
      <c r="FS24" s="174"/>
      <c r="FT24" s="174"/>
      <c r="FU24" s="211"/>
      <c r="FV24" s="211"/>
      <c r="FW24" s="211"/>
      <c r="FX24" s="211"/>
      <c r="FY24" s="211"/>
      <c r="FZ24" s="211"/>
      <c r="GA24" s="211"/>
      <c r="GB24" s="211"/>
      <c r="GC24" s="211"/>
      <c r="GD24" s="211"/>
      <c r="GE24" s="211"/>
      <c r="GF24" s="211"/>
      <c r="GG24" s="211"/>
      <c r="GH24" s="211"/>
      <c r="GI24" s="211"/>
      <c r="GJ24" s="211"/>
      <c r="GK24" s="211"/>
      <c r="GL24" s="211"/>
      <c r="GM24" s="211"/>
      <c r="GN24" s="211"/>
      <c r="GO24" s="211"/>
      <c r="GP24" s="211"/>
      <c r="GQ24" s="211"/>
      <c r="GR24" s="211"/>
      <c r="GS24" s="211"/>
      <c r="GT24" s="211"/>
      <c r="GU24" s="211"/>
      <c r="GV24" s="211"/>
      <c r="GW24" s="211"/>
      <c r="GX24" s="211"/>
      <c r="GY24" s="211"/>
      <c r="GZ24" s="211"/>
      <c r="HA24" s="211"/>
      <c r="HB24" s="211"/>
      <c r="HC24" s="211"/>
      <c r="HD24" s="211"/>
      <c r="HE24" s="211"/>
      <c r="HF24" s="211"/>
      <c r="HG24" s="211"/>
      <c r="HH24" s="211"/>
      <c r="HI24" s="211"/>
      <c r="HJ24" s="211"/>
      <c r="HK24" s="211"/>
      <c r="HL24" s="211"/>
      <c r="HM24" s="211"/>
      <c r="HN24" s="211"/>
      <c r="HO24" s="211"/>
      <c r="HP24" s="211"/>
      <c r="HQ24" s="174"/>
      <c r="HR24" s="174"/>
      <c r="HS24" s="174"/>
      <c r="HT24" s="174"/>
      <c r="HU24" s="174"/>
      <c r="HV24" s="174"/>
      <c r="HW24" s="174"/>
      <c r="HX24" s="174"/>
      <c r="HY24" s="174"/>
      <c r="HZ24" s="174"/>
      <c r="IA24" s="174"/>
      <c r="IB24" s="174"/>
      <c r="IC24" s="174"/>
      <c r="ID24" s="174"/>
      <c r="IE24" s="174"/>
      <c r="IF24" s="174"/>
      <c r="IG24" s="174"/>
      <c r="IH24" s="174"/>
      <c r="II24" s="174"/>
      <c r="IJ24" s="174"/>
      <c r="IK24" s="174"/>
      <c r="IL24" s="174"/>
      <c r="IM24" s="174"/>
      <c r="IN24" s="174"/>
      <c r="IO24" s="174"/>
      <c r="IP24" s="174"/>
      <c r="IQ24" s="174"/>
      <c r="IR24" s="174"/>
      <c r="IS24" s="174"/>
      <c r="IT24" s="174"/>
      <c r="IU24" s="174"/>
      <c r="IV24" s="174"/>
      <c r="IW24" s="174"/>
      <c r="IX24" s="174"/>
      <c r="IY24" s="174"/>
      <c r="IZ24" s="174"/>
      <c r="JA24" s="174"/>
      <c r="JB24" s="174"/>
      <c r="JC24" s="174"/>
      <c r="JD24" s="174"/>
      <c r="JE24" s="174"/>
      <c r="JF24" s="174"/>
      <c r="JG24" s="174"/>
      <c r="JH24" s="174"/>
      <c r="JI24" s="174"/>
      <c r="JJ24" s="174"/>
      <c r="JK24" s="174"/>
      <c r="JL24" s="174"/>
      <c r="JM24" s="174"/>
      <c r="JN24" s="174"/>
      <c r="JO24" s="174"/>
      <c r="JP24" s="174"/>
      <c r="JQ24" s="174"/>
      <c r="JR24" s="174"/>
      <c r="JS24" s="174"/>
      <c r="JT24" s="174"/>
      <c r="JU24" s="174"/>
      <c r="JV24" s="174"/>
      <c r="JW24" s="174"/>
      <c r="JX24" s="174"/>
      <c r="JY24" s="174"/>
      <c r="JZ24" s="174"/>
      <c r="KA24" s="174"/>
      <c r="KB24" s="174"/>
      <c r="KC24" s="174"/>
      <c r="KD24" s="174"/>
      <c r="KE24" s="174"/>
      <c r="KF24" s="174"/>
      <c r="KG24" s="174"/>
      <c r="KH24" s="174"/>
      <c r="KI24" s="174"/>
      <c r="KJ24" s="174"/>
      <c r="KK24" s="149"/>
      <c r="KL24"/>
      <c r="KM24"/>
      <c r="KN24"/>
      <c r="KO24"/>
      <c r="KP24"/>
      <c r="KQ24"/>
      <c r="KR24"/>
      <c r="KS24"/>
      <c r="KT24"/>
    </row>
    <row r="25" spans="1:306" s="76" customFormat="1" ht="15.6">
      <c r="A25" s="153"/>
      <c r="B25" s="153"/>
      <c r="C25" s="153"/>
      <c r="D25" s="153"/>
      <c r="E25" s="153"/>
      <c r="F25" s="153"/>
      <c r="G25" s="153"/>
      <c r="H25" s="200"/>
      <c r="I25" s="200"/>
      <c r="J25" s="201"/>
      <c r="K25" s="202" t="s">
        <v>283</v>
      </c>
      <c r="L25" s="203"/>
      <c r="M25" s="200"/>
      <c r="N25" s="204"/>
      <c r="O25" s="205"/>
      <c r="P25" s="206"/>
      <c r="Q25" s="206"/>
      <c r="R25" s="205"/>
      <c r="S25" s="206"/>
      <c r="T25" s="206"/>
      <c r="U25" s="207"/>
      <c r="V25" s="200"/>
      <c r="W25" s="200"/>
      <c r="X25" s="208"/>
      <c r="Y25" s="206"/>
      <c r="Z25" s="206"/>
      <c r="AA25" s="205"/>
      <c r="AB25" s="205"/>
      <c r="AC25" s="205"/>
      <c r="AD25" s="205"/>
      <c r="AE25" s="209"/>
      <c r="AF25" s="200"/>
      <c r="AG25" s="200"/>
      <c r="AH25" s="200"/>
      <c r="AI25" s="200"/>
      <c r="AJ25" s="200"/>
      <c r="AK25" s="200"/>
      <c r="AL25" s="200"/>
      <c r="AM25" s="200"/>
      <c r="AN25" s="200"/>
      <c r="AO25" s="200"/>
      <c r="AP25" s="200"/>
      <c r="AQ25" s="200"/>
      <c r="AR25" s="200"/>
      <c r="AS25" s="200"/>
      <c r="AT25" s="200"/>
      <c r="AU25" s="200"/>
      <c r="AV25" s="200"/>
      <c r="AW25" s="200"/>
      <c r="AX25" s="200"/>
      <c r="AY25" s="200"/>
      <c r="AZ25" s="200"/>
      <c r="BA25" s="200"/>
      <c r="BB25" s="200"/>
      <c r="BC25" s="200"/>
      <c r="BD25" s="20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M25" s="210"/>
      <c r="CN25" s="210"/>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c r="DM25" s="210"/>
      <c r="DN25" s="210"/>
      <c r="DO25" s="210"/>
      <c r="DP25" s="210"/>
      <c r="DQ25" s="210"/>
      <c r="DR25" s="210"/>
      <c r="DS25" s="210"/>
      <c r="DT25" s="210"/>
      <c r="DU25" s="210"/>
      <c r="DV25" s="210"/>
      <c r="DW25" s="210"/>
      <c r="DX25" s="210"/>
      <c r="DY25" s="210"/>
      <c r="DZ25" s="210"/>
      <c r="EA25" s="210"/>
      <c r="EB25" s="210"/>
      <c r="EC25" s="210"/>
      <c r="ED25" s="210"/>
      <c r="EE25" s="210"/>
      <c r="EF25" s="210"/>
      <c r="EG25" s="210"/>
      <c r="EH25" s="210"/>
      <c r="EI25" s="210"/>
      <c r="EJ25" s="210"/>
      <c r="EK25" s="210"/>
      <c r="EL25" s="210"/>
      <c r="EM25" s="210"/>
      <c r="EN25" s="210"/>
      <c r="EO25" s="210"/>
      <c r="EP25" s="210"/>
      <c r="EQ25" s="210"/>
      <c r="ER25" s="210"/>
      <c r="ES25" s="210"/>
      <c r="ET25" s="210"/>
      <c r="EU25" s="210"/>
      <c r="EV25" s="210"/>
      <c r="EW25" s="210"/>
      <c r="EX25" s="210"/>
      <c r="EY25" s="210"/>
      <c r="EZ25" s="210"/>
      <c r="FA25" s="210"/>
      <c r="FB25" s="210"/>
      <c r="FC25" s="210"/>
      <c r="FD25" s="210"/>
      <c r="FE25" s="210"/>
      <c r="FF25" s="210"/>
      <c r="FG25" s="210"/>
      <c r="FH25" s="210"/>
      <c r="FI25" s="210"/>
      <c r="FJ25" s="210"/>
      <c r="FK25" s="210"/>
      <c r="FL25" s="210"/>
      <c r="FM25" s="210"/>
      <c r="FN25" s="210"/>
      <c r="FO25" s="210"/>
      <c r="FP25" s="210"/>
      <c r="FQ25" s="210"/>
      <c r="FR25" s="210"/>
      <c r="FS25" s="210"/>
      <c r="FT25" s="210"/>
      <c r="FU25" s="210"/>
      <c r="FV25" s="210"/>
      <c r="FW25" s="210"/>
      <c r="FX25" s="210"/>
      <c r="FY25" s="210"/>
      <c r="FZ25" s="210"/>
      <c r="GA25" s="210"/>
      <c r="GB25" s="210"/>
      <c r="GC25" s="210"/>
      <c r="GD25" s="210"/>
      <c r="GE25" s="210"/>
      <c r="GF25" s="210"/>
      <c r="GG25" s="210"/>
      <c r="GH25" s="210"/>
      <c r="GI25" s="210"/>
      <c r="GJ25" s="210"/>
      <c r="GK25" s="210"/>
      <c r="GL25" s="210"/>
      <c r="GM25" s="210"/>
      <c r="GN25" s="210"/>
      <c r="GO25" s="210"/>
      <c r="GP25" s="210"/>
      <c r="GQ25" s="210"/>
      <c r="GR25" s="210"/>
      <c r="GS25" s="210"/>
      <c r="GT25" s="210"/>
      <c r="GU25" s="210"/>
      <c r="GV25" s="210"/>
      <c r="GW25" s="210"/>
      <c r="GX25" s="210"/>
      <c r="GY25" s="210"/>
      <c r="GZ25" s="210"/>
      <c r="HA25" s="210"/>
      <c r="HB25" s="210"/>
      <c r="HC25" s="210"/>
      <c r="HD25" s="210"/>
      <c r="HE25" s="210"/>
      <c r="HF25" s="210"/>
      <c r="HG25" s="210"/>
      <c r="HH25" s="210"/>
      <c r="HI25" s="210"/>
      <c r="HJ25" s="210"/>
      <c r="HK25" s="210"/>
      <c r="HL25" s="210"/>
      <c r="HM25" s="210"/>
      <c r="HN25" s="210"/>
      <c r="HO25" s="210"/>
      <c r="HP25" s="210"/>
      <c r="HQ25" s="210"/>
      <c r="HR25" s="210"/>
      <c r="HS25" s="210"/>
      <c r="HT25" s="210"/>
      <c r="HU25" s="210"/>
      <c r="HV25" s="210"/>
      <c r="HW25" s="210"/>
      <c r="HX25" s="210"/>
      <c r="HY25" s="210"/>
      <c r="HZ25" s="210"/>
      <c r="IA25" s="210"/>
      <c r="IB25" s="210"/>
      <c r="IC25" s="210"/>
      <c r="ID25" s="210"/>
      <c r="IE25" s="210"/>
      <c r="IF25" s="210"/>
      <c r="IG25" s="210"/>
      <c r="IH25" s="210"/>
      <c r="II25" s="210"/>
      <c r="IJ25" s="210"/>
      <c r="IK25" s="210"/>
      <c r="IL25" s="210"/>
      <c r="IM25" s="210"/>
      <c r="IN25" s="210"/>
      <c r="IO25" s="210"/>
      <c r="IP25" s="210"/>
      <c r="IQ25" s="210"/>
      <c r="IR25" s="210"/>
      <c r="IS25" s="210"/>
      <c r="IT25" s="210"/>
      <c r="IU25" s="210"/>
      <c r="IV25" s="210"/>
      <c r="IW25" s="210"/>
      <c r="IX25" s="210"/>
      <c r="IY25" s="210"/>
      <c r="IZ25" s="210"/>
      <c r="JA25" s="210"/>
      <c r="JB25" s="210"/>
      <c r="JC25" s="210"/>
      <c r="JD25" s="210"/>
      <c r="JE25" s="210"/>
      <c r="JF25" s="210"/>
      <c r="JG25" s="210"/>
      <c r="JH25" s="210"/>
      <c r="JI25" s="210"/>
      <c r="JJ25" s="210"/>
      <c r="JK25" s="210"/>
      <c r="JL25" s="210"/>
      <c r="JM25" s="210"/>
      <c r="JN25" s="210"/>
      <c r="JO25" s="210"/>
      <c r="JP25" s="210"/>
      <c r="JQ25" s="210"/>
      <c r="JR25" s="210"/>
      <c r="JS25" s="210"/>
      <c r="JT25" s="210"/>
      <c r="JU25" s="210"/>
      <c r="JV25" s="210"/>
      <c r="JW25" s="210"/>
      <c r="JX25" s="210"/>
      <c r="JY25" s="210"/>
      <c r="JZ25" s="210"/>
      <c r="KA25" s="210"/>
      <c r="KB25" s="210"/>
      <c r="KC25" s="210"/>
      <c r="KD25" s="210"/>
      <c r="KE25" s="210"/>
      <c r="KF25" s="210"/>
      <c r="KG25" s="210"/>
      <c r="KH25" s="210"/>
      <c r="KI25" s="210"/>
      <c r="KJ25" s="210"/>
      <c r="KK25"/>
      <c r="KL25"/>
      <c r="KM25"/>
      <c r="KN25"/>
      <c r="KO25"/>
      <c r="KP25"/>
      <c r="KQ25"/>
      <c r="KR25"/>
      <c r="KS25"/>
      <c r="KT25"/>
    </row>
    <row r="26" spans="1:306" s="76" customFormat="1">
      <c r="A26" s="153"/>
      <c r="B26" s="153"/>
      <c r="C26" s="153"/>
      <c r="D26" s="153"/>
      <c r="E26" s="153"/>
      <c r="F26" s="153"/>
      <c r="G26" s="153"/>
      <c r="H26" s="153"/>
      <c r="I26" s="153"/>
      <c r="J26" s="154"/>
      <c r="K26" s="156"/>
      <c r="L26" s="155"/>
      <c r="M26" s="153"/>
      <c r="N26" s="156"/>
      <c r="O26" s="157"/>
      <c r="P26" s="158"/>
      <c r="Q26" s="158"/>
      <c r="R26" s="157"/>
      <c r="S26" s="158"/>
      <c r="T26" s="158"/>
      <c r="U26" s="157"/>
      <c r="V26" s="153"/>
      <c r="W26" s="153"/>
      <c r="X26" s="159"/>
      <c r="Y26" s="158"/>
      <c r="Z26" s="158"/>
      <c r="AA26" s="157"/>
      <c r="AB26" s="157"/>
      <c r="AC26" s="157"/>
      <c r="AD26" s="157"/>
      <c r="AE26" s="160"/>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row>
    <row r="27" spans="1:306" s="76" customFormat="1">
      <c r="A27" s="153"/>
      <c r="B27" s="153"/>
      <c r="C27" s="153"/>
      <c r="D27" s="153"/>
      <c r="E27" s="153"/>
      <c r="F27" s="153"/>
      <c r="G27" s="153"/>
      <c r="H27" s="153"/>
      <c r="I27" s="153"/>
      <c r="J27" s="154"/>
      <c r="K27" s="156"/>
      <c r="L27" s="155"/>
      <c r="M27" s="153"/>
      <c r="N27" s="156"/>
      <c r="O27" s="157"/>
      <c r="P27" s="157"/>
      <c r="Q27" s="157"/>
      <c r="R27" s="157"/>
      <c r="S27" s="157"/>
      <c r="T27" s="157"/>
      <c r="U27" s="157"/>
      <c r="V27" s="153"/>
      <c r="W27" s="153"/>
      <c r="X27" s="159"/>
      <c r="Y27" s="157"/>
      <c r="Z27" s="157"/>
      <c r="AA27" s="157"/>
      <c r="AB27" s="157"/>
      <c r="AC27" s="157"/>
      <c r="AD27" s="157"/>
      <c r="AE27" s="160"/>
      <c r="AF27" s="153"/>
      <c r="AG27" s="153"/>
      <c r="AH27" s="153"/>
      <c r="AI27" s="153"/>
      <c r="AJ27" s="153"/>
      <c r="AK27" s="153"/>
      <c r="AL27" s="153"/>
      <c r="AM27" s="153"/>
      <c r="AN27" s="153"/>
      <c r="AO27" s="153"/>
      <c r="AP27" s="153"/>
      <c r="AQ27" s="153"/>
      <c r="AR27" s="153"/>
      <c r="AS27" s="153"/>
      <c r="AT27" s="153"/>
      <c r="AU27" s="153"/>
      <c r="AV27" s="153"/>
      <c r="AW27" s="153"/>
      <c r="AX27" s="153"/>
      <c r="AY27" s="153"/>
      <c r="AZ27" s="153"/>
      <c r="BA27" s="153"/>
      <c r="BB27" s="153"/>
      <c r="BC27" s="153"/>
      <c r="BD27" s="153"/>
    </row>
    <row r="28" spans="1:306" s="76" customFormat="1">
      <c r="A28" s="153"/>
      <c r="B28" s="153"/>
      <c r="C28" s="153"/>
      <c r="D28" s="153"/>
      <c r="E28" s="153"/>
      <c r="F28" s="153"/>
      <c r="G28" s="153"/>
      <c r="H28" s="153"/>
      <c r="I28" s="153"/>
      <c r="J28" s="154"/>
      <c r="K28" s="156"/>
      <c r="L28" s="155"/>
      <c r="M28" s="153"/>
      <c r="N28" s="156"/>
      <c r="O28" s="157"/>
      <c r="P28" s="157"/>
      <c r="Q28" s="157"/>
      <c r="R28" s="157"/>
      <c r="S28" s="157"/>
      <c r="T28" s="157"/>
      <c r="U28" s="157"/>
      <c r="V28" s="153"/>
      <c r="W28" s="153"/>
      <c r="X28" s="159"/>
      <c r="Y28" s="157"/>
      <c r="Z28" s="157"/>
      <c r="AA28" s="157"/>
      <c r="AB28" s="157"/>
      <c r="AC28" s="157"/>
      <c r="AD28" s="157"/>
      <c r="AE28" s="160"/>
      <c r="AF28" s="153"/>
      <c r="AG28" s="153"/>
      <c r="AH28" s="153"/>
      <c r="AI28" s="153"/>
      <c r="AJ28" s="153"/>
      <c r="AK28" s="153"/>
      <c r="AL28" s="153"/>
      <c r="AM28" s="153"/>
      <c r="AN28" s="153"/>
      <c r="AO28" s="153"/>
      <c r="AP28" s="153"/>
      <c r="AQ28" s="153"/>
      <c r="AR28" s="153"/>
      <c r="AS28" s="153"/>
      <c r="AT28" s="153"/>
      <c r="AU28" s="153"/>
      <c r="AV28" s="153"/>
      <c r="AW28" s="153"/>
      <c r="AX28" s="153"/>
      <c r="AY28" s="153"/>
      <c r="AZ28" s="153"/>
      <c r="BA28" s="153"/>
      <c r="BB28" s="153"/>
      <c r="BC28" s="153"/>
      <c r="BD28" s="153"/>
    </row>
    <row r="29" spans="1:306" s="76" customFormat="1">
      <c r="A29" s="153"/>
      <c r="B29" s="153"/>
      <c r="C29" s="153"/>
      <c r="D29" s="153"/>
      <c r="E29" s="153"/>
      <c r="F29" s="153"/>
      <c r="G29" s="153"/>
      <c r="H29" s="153"/>
      <c r="I29" s="153"/>
      <c r="J29" s="154"/>
      <c r="K29" s="156"/>
      <c r="L29" s="155"/>
      <c r="M29" s="153"/>
      <c r="N29" s="156"/>
      <c r="O29" s="157"/>
      <c r="P29" s="157"/>
      <c r="Q29" s="157"/>
      <c r="R29" s="157"/>
      <c r="S29" s="157"/>
      <c r="T29" s="157"/>
      <c r="U29" s="157"/>
      <c r="V29" s="153"/>
      <c r="W29" s="153"/>
      <c r="X29" s="159"/>
      <c r="Y29" s="157"/>
      <c r="Z29" s="157"/>
      <c r="AA29" s="157"/>
      <c r="AB29" s="157"/>
      <c r="AC29" s="157"/>
      <c r="AD29" s="157"/>
      <c r="AE29" s="160"/>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row>
    <row r="30" spans="1:306" s="76" customFormat="1">
      <c r="A30" s="153"/>
      <c r="B30" s="153"/>
      <c r="C30" s="153"/>
      <c r="D30" s="153"/>
      <c r="E30" s="153"/>
      <c r="F30" s="153"/>
      <c r="G30" s="153"/>
      <c r="H30" s="153"/>
      <c r="I30" s="153"/>
      <c r="J30" s="154"/>
      <c r="K30" s="156"/>
      <c r="L30" s="155"/>
      <c r="M30" s="153"/>
      <c r="N30" s="156"/>
      <c r="O30" s="157"/>
      <c r="P30" s="157"/>
      <c r="Q30" s="157"/>
      <c r="R30" s="157"/>
      <c r="S30" s="157"/>
      <c r="T30" s="157"/>
      <c r="U30" s="157"/>
      <c r="V30" s="153"/>
      <c r="W30" s="153"/>
      <c r="X30" s="159"/>
      <c r="Y30" s="157"/>
      <c r="Z30" s="157"/>
      <c r="AA30" s="157"/>
      <c r="AB30" s="157"/>
      <c r="AC30" s="157"/>
      <c r="AD30" s="157"/>
      <c r="AE30" s="160"/>
      <c r="AF30" s="153"/>
      <c r="AG30" s="153"/>
      <c r="AH30" s="153"/>
      <c r="AI30" s="153"/>
      <c r="AJ30" s="153"/>
      <c r="AK30" s="153"/>
      <c r="AL30" s="153"/>
      <c r="AM30" s="153"/>
      <c r="AN30" s="153"/>
      <c r="AO30" s="153"/>
      <c r="AP30" s="153"/>
      <c r="AQ30" s="153"/>
      <c r="AR30" s="153"/>
      <c r="AS30" s="153"/>
      <c r="AT30" s="153"/>
      <c r="AU30" s="153"/>
      <c r="AV30" s="153"/>
      <c r="AW30" s="153"/>
      <c r="AX30" s="153"/>
      <c r="AY30" s="153"/>
      <c r="AZ30" s="153"/>
      <c r="BA30" s="153"/>
      <c r="BB30" s="153"/>
      <c r="BC30" s="153"/>
      <c r="BD30" s="153"/>
    </row>
    <row r="31" spans="1:306" s="76" customFormat="1">
      <c r="A31" s="153"/>
      <c r="B31" s="153"/>
      <c r="C31" s="153"/>
      <c r="D31" s="153"/>
      <c r="E31" s="153"/>
      <c r="F31" s="153"/>
      <c r="G31" s="153"/>
      <c r="H31" s="153"/>
      <c r="I31" s="153"/>
      <c r="J31" s="154"/>
      <c r="K31" s="156"/>
      <c r="L31" s="155"/>
      <c r="M31" s="153"/>
      <c r="N31" s="156"/>
      <c r="O31" s="157"/>
      <c r="P31" s="157"/>
      <c r="Q31" s="157"/>
      <c r="R31" s="157"/>
      <c r="S31" s="157"/>
      <c r="T31" s="157"/>
      <c r="U31" s="157"/>
      <c r="V31" s="153"/>
      <c r="W31" s="153"/>
      <c r="X31" s="159"/>
      <c r="Y31" s="157"/>
      <c r="Z31" s="157"/>
      <c r="AA31" s="157"/>
      <c r="AB31" s="157"/>
      <c r="AC31" s="157"/>
      <c r="AD31" s="157"/>
      <c r="AE31" s="160"/>
      <c r="AF31" s="153"/>
      <c r="AG31" s="153"/>
      <c r="AH31" s="153"/>
      <c r="AI31" s="153"/>
      <c r="AJ31" s="153"/>
      <c r="AK31" s="153"/>
      <c r="AL31" s="153"/>
      <c r="AM31" s="153"/>
      <c r="AN31" s="153"/>
      <c r="AO31" s="153"/>
      <c r="AP31" s="153"/>
      <c r="AQ31" s="153"/>
      <c r="AR31" s="153"/>
      <c r="AS31" s="153"/>
      <c r="AT31" s="153"/>
      <c r="AU31" s="153"/>
      <c r="AV31" s="153"/>
      <c r="AW31" s="153"/>
      <c r="AX31" s="153"/>
      <c r="AY31" s="153"/>
      <c r="AZ31" s="153"/>
      <c r="BA31" s="153"/>
      <c r="BB31" s="153"/>
      <c r="BC31" s="153"/>
      <c r="BD31" s="153"/>
    </row>
    <row r="32" spans="1:306" s="76" customFormat="1">
      <c r="A32" s="153"/>
      <c r="B32" s="153"/>
      <c r="C32" s="153"/>
      <c r="D32" s="153"/>
      <c r="E32" s="153"/>
      <c r="F32" s="153"/>
      <c r="G32" s="153"/>
      <c r="H32" s="153"/>
      <c r="I32" s="153"/>
      <c r="J32" s="154"/>
      <c r="K32" s="156"/>
      <c r="L32" s="155"/>
      <c r="M32" s="153"/>
      <c r="N32" s="156"/>
      <c r="O32" s="157"/>
      <c r="P32" s="157"/>
      <c r="Q32" s="157"/>
      <c r="R32" s="157"/>
      <c r="S32" s="157"/>
      <c r="T32" s="157"/>
      <c r="U32" s="157"/>
      <c r="V32" s="153"/>
      <c r="W32" s="153"/>
      <c r="X32" s="159"/>
      <c r="Y32" s="157"/>
      <c r="Z32" s="157"/>
      <c r="AA32" s="157"/>
      <c r="AB32" s="157"/>
      <c r="AC32" s="157"/>
      <c r="AD32" s="157"/>
      <c r="AE32" s="160"/>
      <c r="AF32" s="153"/>
      <c r="AG32" s="153"/>
      <c r="AH32" s="153"/>
      <c r="AI32" s="153"/>
      <c r="AJ32" s="153"/>
      <c r="AK32" s="153"/>
      <c r="AL32" s="153"/>
      <c r="AM32" s="153"/>
      <c r="AN32" s="153"/>
      <c r="AO32" s="153"/>
      <c r="AP32" s="153"/>
      <c r="AQ32" s="153"/>
      <c r="AR32" s="153"/>
      <c r="AS32" s="153"/>
      <c r="AT32" s="153"/>
      <c r="AU32" s="153"/>
      <c r="AV32" s="153"/>
      <c r="AW32" s="153"/>
      <c r="AX32" s="153"/>
      <c r="AY32" s="153"/>
      <c r="AZ32" s="153"/>
      <c r="BA32" s="153"/>
      <c r="BB32" s="153"/>
      <c r="BC32" s="153"/>
      <c r="BD32" s="153"/>
    </row>
    <row r="33" spans="1:56" s="76" customFormat="1">
      <c r="A33" s="153"/>
      <c r="B33" s="153"/>
      <c r="C33" s="153"/>
      <c r="D33" s="153"/>
      <c r="E33" s="153"/>
      <c r="F33" s="153"/>
      <c r="G33" s="153"/>
      <c r="H33" s="153"/>
      <c r="I33" s="153"/>
      <c r="J33" s="154"/>
      <c r="K33" s="156"/>
      <c r="L33" s="155"/>
      <c r="M33" s="153"/>
      <c r="N33" s="156"/>
      <c r="O33" s="157"/>
      <c r="P33" s="157"/>
      <c r="Q33" s="157"/>
      <c r="R33" s="157"/>
      <c r="S33" s="157"/>
      <c r="T33" s="157"/>
      <c r="U33" s="157"/>
      <c r="V33" s="153"/>
      <c r="W33" s="153"/>
      <c r="X33" s="159"/>
      <c r="Y33" s="157"/>
      <c r="Z33" s="157"/>
      <c r="AA33" s="157"/>
      <c r="AB33" s="157"/>
      <c r="AC33" s="157"/>
      <c r="AD33" s="157"/>
      <c r="AE33" s="160"/>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row>
    <row r="36" spans="1:56" s="76" customFormat="1">
      <c r="A36" s="153"/>
      <c r="B36" s="153"/>
      <c r="C36" s="153"/>
      <c r="D36" s="153"/>
      <c r="E36" s="153"/>
      <c r="F36" s="153"/>
      <c r="G36" s="153"/>
      <c r="H36" s="153"/>
      <c r="I36" s="153"/>
      <c r="J36" s="154"/>
      <c r="K36" s="156"/>
      <c r="L36" s="155"/>
      <c r="M36" s="153"/>
      <c r="N36" s="156"/>
      <c r="O36" s="157"/>
      <c r="P36" s="157"/>
      <c r="Q36" s="157"/>
      <c r="R36" s="157"/>
      <c r="S36" s="157"/>
      <c r="T36" s="157"/>
      <c r="U36" s="157"/>
      <c r="V36" s="153"/>
      <c r="W36" s="153"/>
      <c r="X36" s="159"/>
      <c r="Y36" s="157"/>
      <c r="Z36" s="157"/>
      <c r="AA36" s="157"/>
      <c r="AB36" s="157"/>
      <c r="AC36" s="157"/>
      <c r="AD36" s="157"/>
      <c r="AE36" s="160"/>
      <c r="AF36" s="153"/>
      <c r="AG36" s="153"/>
      <c r="AH36" s="153"/>
      <c r="AI36" s="153"/>
      <c r="AJ36" s="153"/>
      <c r="AK36" s="153"/>
      <c r="AL36" s="153"/>
      <c r="AM36" s="153"/>
      <c r="AN36" s="153"/>
      <c r="AO36" s="153"/>
      <c r="AP36" s="153"/>
      <c r="AQ36" s="153"/>
      <c r="AR36" s="153"/>
      <c r="AS36" s="153"/>
      <c r="AT36" s="153"/>
      <c r="AU36" s="153"/>
      <c r="AV36" s="153"/>
      <c r="AW36" s="153"/>
      <c r="AX36" s="153"/>
      <c r="AY36" s="153"/>
      <c r="AZ36" s="153"/>
      <c r="BA36" s="153"/>
      <c r="BB36" s="153"/>
      <c r="BC36" s="153"/>
      <c r="BD36" s="153"/>
    </row>
  </sheetData>
  <conditionalFormatting sqref="X10:X24">
    <cfRule type="dataBar" priority="2">
      <dataBar>
        <cfvo type="min"/>
        <cfvo type="max"/>
        <color rgb="FF6DD9FF"/>
      </dataBar>
      <extLst>
        <ext xmlns:x14="http://schemas.microsoft.com/office/spreadsheetml/2009/9/main" uri="{B025F937-C7B1-47D3-B67F-A62EFF666E3E}">
          <x14:id>{ABEDB71A-9293-4ED6-91F9-186DF6B7EB9D}</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ABEDB71A-9293-4ED6-91F9-186DF6B7EB9D}">
            <x14:dataBar minLength="0" maxLength="100" negativeBarColorSameAsPositive="1" axisPosition="none">
              <x14:cfvo type="autoMin"/>
              <x14:cfvo type="autoMax"/>
            </x14:dataBar>
          </x14:cfRule>
          <xm:sqref>X10:X24</xm:sqref>
        </x14:conditionalFormatting>
        <x14:conditionalFormatting xmlns:xm="http://schemas.microsoft.com/office/excel/2006/main">
          <x14:cfRule type="iconSet" priority="213" id="{CE88D35F-62B5-49B2-B283-6BAA60FF2613}">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W25 W9</xm:sqref>
        </x14:conditionalFormatting>
        <x14:conditionalFormatting xmlns:xm="http://schemas.microsoft.com/office/excel/2006/main">
          <x14:cfRule type="iconSet" priority="1" id="{FFBDD1DE-271F-4A3E-8B45-45A073BC26CF}">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09765625" defaultRowHeight="13.8"/>
  <cols>
    <col min="1" max="1" width="9.09765625" style="76"/>
    <col min="2" max="2" width="1" style="76" customWidth="1"/>
    <col min="3" max="3" width="6.296875" style="76" customWidth="1"/>
    <col min="4" max="4" width="1.296875" style="76" customWidth="1"/>
    <col min="5" max="15" width="9.09765625" style="76" customWidth="1"/>
    <col min="16" max="16" width="9.296875" style="76" customWidth="1"/>
    <col min="17" max="18" width="9.09765625" style="76" customWidth="1"/>
    <col min="19" max="19" width="8.296875" style="76" customWidth="1"/>
    <col min="20" max="20" width="9.09765625" style="76" customWidth="1"/>
    <col min="21" max="21" width="9.296875" style="76" customWidth="1"/>
    <col min="22" max="22" width="2" style="76" customWidth="1"/>
    <col min="23" max="23" width="0.8984375" style="76" customWidth="1"/>
    <col min="24" max="16384" width="9.09765625" style="76"/>
  </cols>
  <sheetData>
    <row r="2" spans="2:23 15055:15056" ht="5.25" customHeight="1">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c r="B4" s="19"/>
      <c r="C4" s="33"/>
      <c r="D4" s="33"/>
      <c r="H4" s="263" t="s">
        <v>157</v>
      </c>
      <c r="I4" s="263"/>
      <c r="J4" s="263"/>
      <c r="K4" s="263"/>
      <c r="L4" s="263"/>
      <c r="M4" s="263"/>
      <c r="N4" s="263"/>
      <c r="O4" s="263"/>
      <c r="P4" s="263"/>
      <c r="Q4" s="263"/>
      <c r="R4" s="263"/>
      <c r="S4" s="263"/>
      <c r="T4" s="33"/>
      <c r="U4" s="33"/>
      <c r="V4" s="33"/>
      <c r="W4" s="19"/>
    </row>
    <row r="5" spans="2:23 15055:15056" ht="15" customHeight="1">
      <c r="B5" s="19"/>
      <c r="C5" s="33"/>
      <c r="D5" s="33"/>
      <c r="G5" s="90"/>
      <c r="H5" s="263"/>
      <c r="I5" s="263"/>
      <c r="J5" s="263"/>
      <c r="K5" s="263"/>
      <c r="L5" s="263"/>
      <c r="M5" s="263"/>
      <c r="N5" s="263"/>
      <c r="O5" s="263"/>
      <c r="P5" s="263"/>
      <c r="Q5" s="263"/>
      <c r="R5" s="263"/>
      <c r="S5" s="263"/>
      <c r="W5" s="19"/>
    </row>
    <row r="6" spans="2:23 15055:15056" ht="35.4" customHeight="1">
      <c r="B6" s="19"/>
      <c r="C6" s="33"/>
      <c r="D6" s="33"/>
      <c r="K6" s="67"/>
      <c r="L6" s="67"/>
      <c r="M6" s="67"/>
      <c r="N6" s="67"/>
      <c r="O6" s="67"/>
      <c r="P6" s="67"/>
      <c r="Q6" s="33"/>
      <c r="R6" s="33"/>
      <c r="S6" s="68"/>
      <c r="T6" s="33"/>
      <c r="U6" s="33"/>
      <c r="V6" s="33"/>
      <c r="W6" s="19"/>
    </row>
    <row r="7" spans="2:23 15055:15056" ht="15" customHeight="1">
      <c r="B7" s="19"/>
      <c r="C7" s="69" t="s">
        <v>156</v>
      </c>
      <c r="D7" s="33"/>
      <c r="K7" s="67"/>
      <c r="L7" s="67"/>
      <c r="M7" s="67"/>
      <c r="N7" s="67"/>
      <c r="O7" s="67"/>
      <c r="P7" s="67"/>
      <c r="Q7" s="33"/>
      <c r="R7" s="33"/>
      <c r="S7" s="68"/>
      <c r="T7" s="33"/>
      <c r="U7" s="33"/>
      <c r="V7" s="33"/>
      <c r="W7" s="19"/>
    </row>
    <row r="8" spans="2:23 15055:15056" ht="3.9" customHeight="1">
      <c r="B8" s="19"/>
      <c r="C8" s="19"/>
      <c r="D8" s="19"/>
      <c r="E8" s="19"/>
      <c r="F8" s="19"/>
      <c r="G8" s="19"/>
      <c r="H8" s="19"/>
      <c r="I8" s="19"/>
      <c r="J8" s="19"/>
      <c r="K8" s="70"/>
      <c r="L8" s="70"/>
      <c r="M8" s="70"/>
      <c r="N8" s="70"/>
      <c r="O8" s="70"/>
      <c r="P8" s="70"/>
      <c r="Q8" s="19"/>
      <c r="R8" s="19"/>
      <c r="S8" s="71"/>
      <c r="T8" s="19"/>
      <c r="U8" s="19"/>
      <c r="V8" s="19"/>
      <c r="W8" s="19"/>
    </row>
    <row r="9" spans="2:23 15055:15056" ht="45.75" customHeight="1">
      <c r="B9" s="19"/>
      <c r="G9" s="262" t="s">
        <v>1</v>
      </c>
      <c r="H9" s="262"/>
      <c r="I9" s="262"/>
      <c r="J9" s="262"/>
      <c r="K9" s="262"/>
      <c r="L9" s="262"/>
      <c r="M9" s="262"/>
      <c r="N9" s="262"/>
      <c r="O9" s="262"/>
      <c r="P9" s="262"/>
      <c r="Q9" s="262"/>
      <c r="R9" s="262"/>
      <c r="S9" s="262"/>
      <c r="W9" s="19"/>
    </row>
    <row r="10" spans="2:23 15055:15056" ht="15" customHeight="1">
      <c r="B10" s="19"/>
      <c r="C10" s="76">
        <v>1</v>
      </c>
      <c r="D10" s="72">
        <v>1</v>
      </c>
      <c r="E10" s="73" t="s">
        <v>80</v>
      </c>
      <c r="F10" s="33"/>
      <c r="G10" s="262"/>
      <c r="H10" s="262"/>
      <c r="I10" s="262"/>
      <c r="J10" s="262"/>
      <c r="K10" s="262"/>
      <c r="L10" s="262"/>
      <c r="M10" s="262"/>
      <c r="N10" s="262"/>
      <c r="O10" s="262"/>
      <c r="P10" s="262"/>
      <c r="Q10" s="262"/>
      <c r="R10" s="262"/>
      <c r="S10" s="262"/>
      <c r="T10" s="74"/>
      <c r="U10" s="74"/>
      <c r="V10" s="74"/>
      <c r="W10" s="19"/>
    </row>
    <row r="11" spans="2:23 15055:15056" ht="15" customHeight="1">
      <c r="B11" s="19"/>
      <c r="E11" s="260" t="s">
        <v>70</v>
      </c>
      <c r="F11" s="261"/>
      <c r="G11" s="261"/>
      <c r="H11" s="261"/>
      <c r="I11" s="261"/>
      <c r="W11" s="19"/>
    </row>
    <row r="12" spans="2:23 15055:15056" ht="15" customHeight="1">
      <c r="B12" s="19"/>
      <c r="W12" s="19"/>
    </row>
    <row r="13" spans="2:23 15055:15056" ht="15" customHeight="1">
      <c r="B13" s="19"/>
      <c r="C13" s="76">
        <v>2</v>
      </c>
      <c r="E13" s="73" t="s">
        <v>158</v>
      </c>
      <c r="W13" s="19"/>
    </row>
    <row r="14" spans="2:23 15055:15056" ht="15" customHeight="1">
      <c r="B14" s="19"/>
      <c r="W14" s="19"/>
    </row>
    <row r="15" spans="2:23 15055:15056" ht="15" customHeight="1">
      <c r="B15" s="19"/>
      <c r="W15" s="19"/>
    </row>
    <row r="16" spans="2:23 15055:15056" ht="15" customHeight="1">
      <c r="B16" s="19"/>
      <c r="W16" s="19"/>
    </row>
    <row r="17" spans="2:23" ht="15" customHeight="1">
      <c r="B17" s="19"/>
      <c r="W17" s="19"/>
    </row>
    <row r="18" spans="2:23" ht="15" customHeight="1">
      <c r="B18" s="19"/>
      <c r="W18" s="19"/>
    </row>
    <row r="19" spans="2:23" ht="15" customHeight="1">
      <c r="B19" s="19"/>
      <c r="W19" s="19"/>
    </row>
    <row r="20" spans="2:23" ht="15" customHeight="1">
      <c r="B20" s="19"/>
      <c r="W20" s="19"/>
    </row>
    <row r="21" spans="2:23" ht="15" customHeight="1">
      <c r="B21" s="19"/>
      <c r="W21" s="19"/>
    </row>
    <row r="22" spans="2:23" ht="15" customHeight="1">
      <c r="B22" s="19"/>
      <c r="E22" s="260" t="s">
        <v>287</v>
      </c>
      <c r="F22" s="261"/>
      <c r="G22" s="261"/>
      <c r="H22" s="261"/>
      <c r="W22" s="19"/>
    </row>
    <row r="23" spans="2:23" ht="15" customHeight="1">
      <c r="B23" s="19"/>
      <c r="E23" s="260" t="s">
        <v>0</v>
      </c>
      <c r="F23" s="261"/>
      <c r="G23" s="261"/>
      <c r="H23" s="261"/>
      <c r="W23" s="19"/>
    </row>
    <row r="24" spans="2:23" ht="15" customHeight="1">
      <c r="B24" s="19"/>
      <c r="W24" s="19"/>
    </row>
    <row r="25" spans="2:23" ht="3.75" customHeight="1">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row r="31" spans="2:23" ht="14.4">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09765625" defaultRowHeight="13.8"/>
  <cols>
    <col min="1" max="11" width="9.09765625" style="131"/>
    <col min="12" max="13" width="14.8984375" style="131" customWidth="1"/>
    <col min="14" max="14" width="12.8984375" style="131" customWidth="1"/>
    <col min="15" max="19" width="9.09765625" style="131"/>
    <col min="20" max="20" width="12.69921875" style="131" customWidth="1"/>
    <col min="21" max="27" width="9.09765625" style="131"/>
    <col min="28" max="28" width="19.69921875" style="131" customWidth="1"/>
    <col min="29" max="16384" width="9.09765625" style="131"/>
  </cols>
  <sheetData>
    <row r="1" spans="1:338">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320</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4"/>
  <sheetViews>
    <sheetView workbookViewId="0"/>
  </sheetViews>
  <sheetFormatPr defaultRowHeight="13.8"/>
  <sheetData>
    <row r="1" spans="1:20">
      <c r="A1" t="s">
        <v>225</v>
      </c>
      <c r="B1" t="s">
        <v>248</v>
      </c>
      <c r="C1" t="s">
        <v>249</v>
      </c>
      <c r="D1" t="s">
        <v>250</v>
      </c>
      <c r="K1" t="s">
        <v>251</v>
      </c>
      <c r="L1" t="s">
        <v>252</v>
      </c>
      <c r="M1" t="s">
        <v>253</v>
      </c>
      <c r="N1" t="s">
        <v>254</v>
      </c>
      <c r="O1" t="s">
        <v>255</v>
      </c>
      <c r="P1" t="s">
        <v>256</v>
      </c>
      <c r="Q1" t="s">
        <v>257</v>
      </c>
      <c r="R1" t="s">
        <v>258</v>
      </c>
      <c r="S1" t="s">
        <v>259</v>
      </c>
      <c r="T1" t="s">
        <v>260</v>
      </c>
    </row>
    <row r="2" spans="1:20">
      <c r="A2" t="s">
        <v>261</v>
      </c>
      <c r="C2" t="b">
        <v>0</v>
      </c>
      <c r="E2" s="132" t="s">
        <v>262</v>
      </c>
      <c r="K2" s="133">
        <v>0.375</v>
      </c>
      <c r="L2" s="133">
        <v>0.75</v>
      </c>
      <c r="M2">
        <v>0</v>
      </c>
      <c r="N2">
        <v>1</v>
      </c>
      <c r="O2">
        <v>1</v>
      </c>
      <c r="P2">
        <v>1</v>
      </c>
      <c r="Q2">
        <v>1</v>
      </c>
      <c r="R2">
        <v>1</v>
      </c>
      <c r="S2">
        <v>0</v>
      </c>
    </row>
    <row r="3" spans="1:20">
      <c r="A3" t="s">
        <v>318</v>
      </c>
      <c r="B3">
        <v>0</v>
      </c>
      <c r="C3" t="b">
        <v>1</v>
      </c>
      <c r="K3" s="133">
        <v>0.375</v>
      </c>
      <c r="L3" s="133">
        <v>0.75</v>
      </c>
      <c r="M3">
        <v>0</v>
      </c>
      <c r="N3">
        <v>1</v>
      </c>
      <c r="O3">
        <v>1</v>
      </c>
      <c r="P3">
        <v>1</v>
      </c>
      <c r="Q3">
        <v>1</v>
      </c>
      <c r="R3">
        <v>1</v>
      </c>
      <c r="S3">
        <v>0</v>
      </c>
    </row>
    <row r="4" spans="1:20">
      <c r="A4" t="s">
        <v>319</v>
      </c>
      <c r="B4">
        <v>0</v>
      </c>
      <c r="C4" t="b">
        <v>1</v>
      </c>
      <c r="K4" s="133">
        <v>0.375</v>
      </c>
      <c r="L4" s="133">
        <v>0.75</v>
      </c>
      <c r="M4">
        <v>0</v>
      </c>
      <c r="N4">
        <v>1</v>
      </c>
      <c r="O4">
        <v>1</v>
      </c>
      <c r="P4">
        <v>1</v>
      </c>
      <c r="Q4">
        <v>1</v>
      </c>
      <c r="R4">
        <v>1</v>
      </c>
      <c r="S4">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2022-05-19T11:27:11Z</dcterms:modified>
  <cp:category>Excel Template</cp:category>
  <cp:version>3.0</cp:version>
</cp:coreProperties>
</file>