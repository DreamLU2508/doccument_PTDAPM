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imelineCaches/timelineCache1.xml" ContentType="application/vnd.ms-excel.timeline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slicers/slicer1.xml" ContentType="application/vnd.ms-excel.slicer+xml"/>
  <Override PartName="/xl/timelines/timeline1.xml" ContentType="application/vnd.ms-excel.timeline+xml"/>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customUI/images/ExportToPDF.png" ContentType="image/.png"/>
  <Override PartName="/customUI/images/ScrolltoEnd.png" ContentType="image/.png"/>
  <Override PartName="/customUI/images/YearlyView.png" ContentType="image/.png"/>
  <Override PartName="/customUI/images/DailyView.png" ContentType="image/.png"/>
  <Override PartName="/customUI/images/SetupTimeline.png" ContentType="image/.png"/>
  <Override PartName="/customUI/images/AddTask64.png" ContentType="application/octet-stream"/>
  <Override PartName="/customUI/images/HalfYearlyView.png" ContentType="image/.png"/>
  <Override PartName="/customUI/images/AddSection64.png" ContentType="application/octet-stream"/>
  <Override PartName="/customUI/images/ExportToXLSX.png" ContentType="image/.png"/>
  <Override PartName="/customUI/images/QuarterlyView.png" ContentType="image/.png"/>
  <Override PartName="/customUI/images/MonthlyView.png" ContentType="image/.png"/>
  <Override PartName="/customUI/images/HourlyView.png" ContentType="image/.png"/>
  <Override PartName="/customUI/images/AddMilestone.png" ContentType="image/.png"/>
  <Override PartName="/customUI/images/WeeklyView.png" ContentType="image/.png"/>
  <Override PartName="/customUI/images/deleteTask64.png" ContentType="application/octet-stream"/>
  <Override PartName="/customUI/images/ScrolltoStart.png" ContentType="image/.png"/>
  <Override PartName="/customUI/images/ScrolltoToday.png" ContentType="image/.png"/>
  <Override PartName="/customUI/images/moreviews.png" ContentType="image/.png"/>
  <Override PartName="/customUI/images/EditTask64.png" ContentType="application/octet-stream"/>
  <Override PartName="/customUI/images/AddGanttChart64.png" ContentType="application/octet-stream"/>
</Types>
</file>

<file path=_rels/.rels><?xml version="1.0" encoding="UTF-8" standalone="yes"?>
<Relationships xmlns="http://schemas.openxmlformats.org/package/2006/relationships"><Relationship Id="R7f19f805bfb641b9" Type="http://schemas.microsoft.com/office/2006/relationships/ui/extensibility" Target="customUI/customUI.xml"/><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128" codeName="{AE6600E7-7A62-396C-DE95-9942FA9DD81E}"/>
  <workbookPr codeName="ThisWorkbook" autoCompressPictures="0"/>
  <mc:AlternateContent xmlns:mc="http://schemas.openxmlformats.org/markup-compatibility/2006">
    <mc:Choice Requires="x15">
      <x15ac:absPath xmlns:x15ac="http://schemas.microsoft.com/office/spreadsheetml/2010/11/ac" url="https://d.docs.live.net/a9a904a2f6150d9e/Desktop/documents-20220418T161448Z-001/New folder/doccument_PTDAPM/Project Planning/"/>
    </mc:Choice>
  </mc:AlternateContent>
  <xr:revisionPtr revIDLastSave="4" documentId="13_ncr:1_{9C206D2D-7EEC-416B-A66F-96CA2F78151C}" xr6:coauthVersionLast="47" xr6:coauthVersionMax="47" xr10:uidLastSave="{0E11013C-2F20-44EF-94DB-32714DBB75CD}"/>
  <bookViews>
    <workbookView xWindow="-108" yWindow="-108" windowWidth="23256" windowHeight="12456" tabRatio="913" firstSheet="4" activeTab="4" xr2:uid="{00000000-000D-0000-FFFF-FFFF00000000}"/>
  </bookViews>
  <sheets>
    <sheet name="Dashboard Data" sheetId="75" state="veryHidden" r:id="rId1"/>
    <sheet name="GanttSettingsTemplate" sheetId="50" state="veryHidden" r:id="rId2"/>
    <sheet name="GanttDashboardTemplate" sheetId="3" state="veryHidden" r:id="rId3"/>
    <sheet name="PivotSheet" sheetId="89" state="veryHidden" r:id="rId4"/>
    <sheet name="Project Plan" sheetId="92" r:id="rId5"/>
    <sheet name="Help" sheetId="7" r:id="rId6"/>
    <sheet name="GS1" sheetId="91" state="veryHidden" r:id="rId7"/>
    <sheet name="RS1" sheetId="90" state="veryHidden" r:id="rId8"/>
  </sheets>
  <definedNames>
    <definedName name="NativeTimeline_EED">#N/A</definedName>
    <definedName name="_xlnm.Print_Area" localSheetId="2">GanttDashboardTemplate!$B$1:$G$44</definedName>
    <definedName name="_xlnm.Print_Titles" localSheetId="2">GanttDashboardTemplate!$2:$2</definedName>
    <definedName name="Slicer_Priority">#N/A</definedName>
    <definedName name="Slicer_Resource">#N/A</definedName>
    <definedName name="Slicer_Status">#N/A</definedName>
    <definedName name="VGD">#REF!</definedName>
  </definedNames>
  <calcPr calcId="191029"/>
  <pivotCaches>
    <pivotCache cacheId="0" r:id="rId9"/>
  </pivotCaches>
  <extLst>
    <ext xmlns:x14="http://schemas.microsoft.com/office/spreadsheetml/2009/9/main" uri="{BBE1A952-AA13-448e-AADC-164F8A28A991}">
      <x14:slicerCaches>
        <x14:slicerCache r:id="rId10"/>
        <x14:slicerCache r:id="rId11"/>
        <x14:slicerCache r:id="rId12"/>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13"/>
      </x15:timelineCacheRef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G2" i="75" l="1"/>
  <c r="BG3" i="75"/>
  <c r="BG4" i="75"/>
  <c r="BG5" i="75"/>
  <c r="E5" i="3" l="1"/>
  <c r="AT2" i="3"/>
  <c r="AS2" i="3"/>
  <c r="AZ2" i="3" l="1"/>
  <c r="BA2" i="3" s="1"/>
  <c r="D18" i="3" s="1"/>
  <c r="AX2" i="3"/>
  <c r="AY2" i="3" s="1"/>
  <c r="AV2" i="3" l="1"/>
  <c r="E4" i="3" s="1"/>
  <c r="E13" i="3"/>
  <c r="E12" i="3"/>
  <c r="E11" i="3"/>
  <c r="E10" i="3"/>
  <c r="E9" i="3"/>
  <c r="E7" i="3"/>
  <c r="E6" i="3"/>
</calcChain>
</file>

<file path=xl/sharedStrings.xml><?xml version="1.0" encoding="utf-8"?>
<sst xmlns="http://schemas.openxmlformats.org/spreadsheetml/2006/main" count="982" uniqueCount="356">
  <si>
    <t>CLICK HERE FOR DOCUMENTATION</t>
  </si>
  <si>
    <t>QUICK GUIDE</t>
  </si>
  <si>
    <t xml:space="preserve"> </t>
  </si>
  <si>
    <t>Total Tasks</t>
  </si>
  <si>
    <t>BaselineBudget</t>
  </si>
  <si>
    <t>End Date</t>
  </si>
  <si>
    <t>EstimatedBudget</t>
  </si>
  <si>
    <t>Start Date</t>
  </si>
  <si>
    <t>$</t>
  </si>
  <si>
    <t>Lead</t>
  </si>
  <si>
    <t>Project Status</t>
  </si>
  <si>
    <t>PROJECT SUMMARY</t>
  </si>
  <si>
    <t>Notes</t>
  </si>
  <si>
    <t>ACS</t>
  </si>
  <si>
    <t>ECS</t>
  </si>
  <si>
    <t>BCS</t>
  </si>
  <si>
    <t>AD</t>
  </si>
  <si>
    <t>PercentageCompleted</t>
  </si>
  <si>
    <t>ED</t>
  </si>
  <si>
    <t>AED</t>
  </si>
  <si>
    <t>EED</t>
  </si>
  <si>
    <t>ASD</t>
  </si>
  <si>
    <t>ESD</t>
  </si>
  <si>
    <t>BD</t>
  </si>
  <si>
    <t>BED</t>
  </si>
  <si>
    <t>BSD</t>
  </si>
  <si>
    <t>Task</t>
  </si>
  <si>
    <t>WBS</t>
  </si>
  <si>
    <t>DDD DD\-MMM\-YY</t>
  </si>
  <si>
    <t>D</t>
  </si>
  <si>
    <t>BarTextIsUnderline</t>
  </si>
  <si>
    <t>BarTextIsItalic</t>
  </si>
  <si>
    <t>BarTextIsBold</t>
  </si>
  <si>
    <t>BarTextDataColumnName</t>
  </si>
  <si>
    <t>BarTextFontSize</t>
  </si>
  <si>
    <t>BarTextCharacters</t>
  </si>
  <si>
    <t>EnableBarText</t>
  </si>
  <si>
    <t>vidud</t>
  </si>
  <si>
    <t>chirun</t>
  </si>
  <si>
    <t>peru</t>
  </si>
  <si>
    <t>ShowDependencyConnector</t>
  </si>
  <si>
    <t>ShowTodayLines</t>
  </si>
  <si>
    <t>DateFormat</t>
  </si>
  <si>
    <t>ShowGrouping</t>
  </si>
  <si>
    <t>LiType</t>
  </si>
  <si>
    <t>EC</t>
  </si>
  <si>
    <t>LV</t>
  </si>
  <si>
    <t>WeekStartDay</t>
  </si>
  <si>
    <t>ShowLate</t>
  </si>
  <si>
    <t>ShowPlanned</t>
  </si>
  <si>
    <t>ShowInProgress</t>
  </si>
  <si>
    <t>ShowCompleted</t>
  </si>
  <si>
    <t>CurrentView</t>
  </si>
  <si>
    <t>CurrencySymbol</t>
  </si>
  <si>
    <t>TotalACS</t>
  </si>
  <si>
    <t>ActualCosts</t>
  </si>
  <si>
    <t>Completed</t>
  </si>
  <si>
    <t>In-Progress</t>
  </si>
  <si>
    <t>Planned</t>
  </si>
  <si>
    <t>Overdue</t>
  </si>
  <si>
    <t>liky</t>
  </si>
  <si>
    <t>duli</t>
  </si>
  <si>
    <t>WeekNumType</t>
  </si>
  <si>
    <t>ISO</t>
  </si>
  <si>
    <t>ShowBaselineBar</t>
  </si>
  <si>
    <t>ShowActualBar</t>
  </si>
  <si>
    <t>PercentageEntryMode</t>
  </si>
  <si>
    <t>PercentageCalculationType</t>
  </si>
  <si>
    <t>manual</t>
  </si>
  <si>
    <t>simple</t>
  </si>
  <si>
    <t>Click here for help to Enable Macros</t>
  </si>
  <si>
    <t>ShowOverdueBar</t>
  </si>
  <si>
    <t>FiSa</t>
  </si>
  <si>
    <t>asdflkjl</t>
  </si>
  <si>
    <t>;J=,F\)-'+%tyzivm":YHs</t>
  </si>
  <si>
    <t>Dark</t>
  </si>
  <si>
    <t>Classic</t>
  </si>
  <si>
    <t>Blue</t>
  </si>
  <si>
    <t>Excel</t>
  </si>
  <si>
    <t>Custom</t>
  </si>
  <si>
    <t>Enable Macros</t>
  </si>
  <si>
    <t>ThemeName</t>
  </si>
  <si>
    <t>SelectedTheme</t>
  </si>
  <si>
    <t>EBC</t>
  </si>
  <si>
    <t>EMC</t>
  </si>
  <si>
    <t>BBC</t>
  </si>
  <si>
    <t>ABC</t>
  </si>
  <si>
    <t>OBC</t>
  </si>
  <si>
    <t>TLC</t>
  </si>
  <si>
    <t>TBC</t>
  </si>
  <si>
    <t>PBC</t>
  </si>
  <si>
    <t>HBC</t>
  </si>
  <si>
    <t>HC</t>
  </si>
  <si>
    <t>WC</t>
  </si>
  <si>
    <t>CR1C</t>
  </si>
  <si>
    <t>CR2C</t>
  </si>
  <si>
    <t>CR3C</t>
  </si>
  <si>
    <t>TGB</t>
  </si>
  <si>
    <t>DLC</t>
  </si>
  <si>
    <t>HCOL</t>
  </si>
  <si>
    <t>DCOL</t>
  </si>
  <si>
    <t>WCOL</t>
  </si>
  <si>
    <t>MCOL</t>
  </si>
  <si>
    <t>QCOL</t>
  </si>
  <si>
    <t>HYCOL</t>
  </si>
  <si>
    <t>YCOL</t>
  </si>
  <si>
    <t>HWID</t>
  </si>
  <si>
    <t>DWID</t>
  </si>
  <si>
    <t>WWID</t>
  </si>
  <si>
    <t>MWID</t>
  </si>
  <si>
    <t>QWID</t>
  </si>
  <si>
    <t>YWID</t>
  </si>
  <si>
    <t>HYWID</t>
  </si>
  <si>
    <t>ds082</t>
  </si>
  <si>
    <t>CR12C</t>
  </si>
  <si>
    <t>RCCal</t>
  </si>
  <si>
    <t>GBC</t>
  </si>
  <si>
    <t>PTRC</t>
  </si>
  <si>
    <t>TSD</t>
  </si>
  <si>
    <t>TED</t>
  </si>
  <si>
    <t>ShowTimelineGrid</t>
  </si>
  <si>
    <t>ShowHolidays</t>
  </si>
  <si>
    <t>ShowWeekends</t>
  </si>
  <si>
    <t>ShowHolidaysPR</t>
  </si>
  <si>
    <t>ShowWeekendsPR</t>
  </si>
  <si>
    <t>HCPR</t>
  </si>
  <si>
    <t>WCPR</t>
  </si>
  <si>
    <t>9</t>
  </si>
  <si>
    <t>RefreshTimeline</t>
  </si>
  <si>
    <t>resourcesettings</t>
  </si>
  <si>
    <t>CalcAED</t>
  </si>
  <si>
    <t>CalcBED</t>
  </si>
  <si>
    <t>GCTYPE</t>
  </si>
  <si>
    <t>GRT</t>
  </si>
  <si>
    <t>TimelineVisible</t>
  </si>
  <si>
    <t>ShowEstBaseBar</t>
  </si>
  <si>
    <t>EBaseC</t>
  </si>
  <si>
    <t>Priority</t>
  </si>
  <si>
    <t>Status</t>
  </si>
  <si>
    <t>TPCH</t>
  </si>
  <si>
    <t>TPCN</t>
  </si>
  <si>
    <t>TPCL</t>
  </si>
  <si>
    <t>TSCC</t>
  </si>
  <si>
    <t>TSCI</t>
  </si>
  <si>
    <t>TSCP</t>
  </si>
  <si>
    <t>ProjectName</t>
  </si>
  <si>
    <t>SSN</t>
  </si>
  <si>
    <t>PTDS</t>
  </si>
  <si>
    <t>ShowPercBar</t>
  </si>
  <si>
    <t>ShowPercDataBar</t>
  </si>
  <si>
    <t>PDC</t>
  </si>
  <si>
    <t>PRC</t>
  </si>
  <si>
    <t>ceDate</t>
  </si>
  <si>
    <t>csDate</t>
  </si>
  <si>
    <t>ceYear</t>
  </si>
  <si>
    <t>csYear</t>
  </si>
  <si>
    <t xml:space="preserve">For Windows Excel versions 2007 - 2019 + All versions of Microsoft 365 and MAC Excel Version 2016 - 2019  + All versions of Microsoft 365 </t>
  </si>
  <si>
    <r>
      <rPr>
        <sz val="28"/>
        <color rgb="FFFF0000"/>
        <rFont val="Arial"/>
        <family val="2"/>
        <scheme val="minor"/>
      </rPr>
      <t>Gantt Excel</t>
    </r>
    <r>
      <rPr>
        <sz val="28"/>
        <color theme="1"/>
        <rFont val="Arial"/>
        <family val="2"/>
        <scheme val="minor"/>
      </rPr>
      <t xml:space="preserve"> - </t>
    </r>
    <r>
      <rPr>
        <sz val="28"/>
        <color theme="9" tint="-0.249977111117893"/>
        <rFont val="Arial"/>
        <family val="2"/>
        <scheme val="minor"/>
      </rPr>
      <t>Project Management in Excel</t>
    </r>
  </si>
  <si>
    <t>Use the Gantt Menu tab in the Excel Ribbon to Create, View and Edit Gantt Charts</t>
  </si>
  <si>
    <t>SavedDate</t>
  </si>
  <si>
    <t>TIL</t>
  </si>
  <si>
    <t>SS</t>
  </si>
  <si>
    <t>TColor</t>
  </si>
  <si>
    <t>TPColor</t>
  </si>
  <si>
    <t>BLColor</t>
  </si>
  <si>
    <t>ACColor</t>
  </si>
  <si>
    <t>LC</t>
  </si>
  <si>
    <t>T</t>
  </si>
  <si>
    <t>NORMAL</t>
  </si>
  <si>
    <t>u</t>
  </si>
  <si>
    <t>ProjectID</t>
  </si>
  <si>
    <t>dType</t>
  </si>
  <si>
    <t>Custom 1</t>
  </si>
  <si>
    <t>Custom 2</t>
  </si>
  <si>
    <t>Custom 3</t>
  </si>
  <si>
    <t>Custom 4</t>
  </si>
  <si>
    <t>Custom 5</t>
  </si>
  <si>
    <t>Custom 6</t>
  </si>
  <si>
    <t>Custom 7</t>
  </si>
  <si>
    <t>Custom 8</t>
  </si>
  <si>
    <t>Custom 9</t>
  </si>
  <si>
    <t>Custom 10</t>
  </si>
  <si>
    <t>Custom 11</t>
  </si>
  <si>
    <t>Custom 12</t>
  </si>
  <si>
    <t>Custom 13</t>
  </si>
  <si>
    <t>Custom 14</t>
  </si>
  <si>
    <t>Custom 15</t>
  </si>
  <si>
    <t>Custom 16</t>
  </si>
  <si>
    <t>Custom 17</t>
  </si>
  <si>
    <t>Custom 18</t>
  </si>
  <si>
    <t>Custom 19</t>
  </si>
  <si>
    <t>Custom 20</t>
  </si>
  <si>
    <t>Baseline Cost</t>
  </si>
  <si>
    <t>Actual Cost</t>
  </si>
  <si>
    <t>S</t>
  </si>
  <si>
    <t>Project Name - Click to Edit</t>
  </si>
  <si>
    <t>Project ID</t>
  </si>
  <si>
    <t>Project Worksheet</t>
  </si>
  <si>
    <t>Project Name</t>
  </si>
  <si>
    <t>Project Completion</t>
  </si>
  <si>
    <t>ESTIMATED</t>
  </si>
  <si>
    <t>BASELINE</t>
  </si>
  <si>
    <t>ACTUAL</t>
  </si>
  <si>
    <t>Currency</t>
  </si>
  <si>
    <t>Earliest Start Date</t>
  </si>
  <si>
    <t>Earliest End Date</t>
  </si>
  <si>
    <t>Completed Tasks</t>
  </si>
  <si>
    <t>In-Progress Tasks</t>
  </si>
  <si>
    <t>Planned Tasks</t>
  </si>
  <si>
    <t>Overdue Tasks</t>
  </si>
  <si>
    <t>Selected Project</t>
  </si>
  <si>
    <t>All Projects</t>
  </si>
  <si>
    <t>Project Plan</t>
  </si>
  <si>
    <t>Click to edit</t>
  </si>
  <si>
    <t>% Comp</t>
  </si>
  <si>
    <t>ProjectFilter</t>
  </si>
  <si>
    <t>Row Labels</t>
  </si>
  <si>
    <t>Count of tID</t>
  </si>
  <si>
    <t>Values</t>
  </si>
  <si>
    <t>(Multiple Items)</t>
  </si>
  <si>
    <t>Estimated Cost</t>
  </si>
  <si>
    <t>Remaining</t>
  </si>
  <si>
    <t>% Over Budget</t>
  </si>
  <si>
    <t>Work</t>
  </si>
  <si>
    <t>ESTIMATED BUDGET</t>
  </si>
  <si>
    <t>Resource</t>
  </si>
  <si>
    <t>TID</t>
  </si>
  <si>
    <t>Dependency</t>
  </si>
  <si>
    <t>Dependents</t>
  </si>
  <si>
    <t>StartConstrain</t>
  </si>
  <si>
    <t>EndConstrain</t>
  </si>
  <si>
    <t>TaskIcon</t>
  </si>
  <si>
    <t>ResourceCost</t>
  </si>
  <si>
    <t>Done</t>
  </si>
  <si>
    <t>GEType</t>
  </si>
  <si>
    <t>(blank)</t>
  </si>
  <si>
    <t>LOW</t>
  </si>
  <si>
    <t>HIGH</t>
  </si>
  <si>
    <t>Est Budget</t>
  </si>
  <si>
    <t>Act Costs</t>
  </si>
  <si>
    <t>20-Aug</t>
  </si>
  <si>
    <t>(All)</t>
  </si>
  <si>
    <t>5-Aug</t>
  </si>
  <si>
    <t>Type here or double click to edit in form</t>
  </si>
  <si>
    <t>InProgress</t>
  </si>
  <si>
    <t>T42VP</t>
  </si>
  <si>
    <t>TR8#{5QM</t>
  </si>
  <si>
    <t>N4fL3sgyYf-Gm2xds9E-6dG7b72mevs</t>
  </si>
  <si>
    <t>Cost</t>
  </si>
  <si>
    <t>Use Org Holidays</t>
  </si>
  <si>
    <t>Department</t>
  </si>
  <si>
    <t>Workhours Start</t>
  </si>
  <si>
    <t>Workhours End</t>
  </si>
  <si>
    <t>WorkdaySun</t>
  </si>
  <si>
    <t>WorkdayMon</t>
  </si>
  <si>
    <t>WorkdayTue</t>
  </si>
  <si>
    <t>WorkdayWed</t>
  </si>
  <si>
    <t>WorkdayThu</t>
  </si>
  <si>
    <t>WorkdayFri</t>
  </si>
  <si>
    <t>WorkdaySat</t>
  </si>
  <si>
    <t>Holidays</t>
  </si>
  <si>
    <t>Organization</t>
  </si>
  <si>
    <t>DO NOT MODIFY THIS SHEET OR INSERT COLUMNS</t>
  </si>
  <si>
    <t>System</t>
  </si>
  <si>
    <t>Baseline Start</t>
  </si>
  <si>
    <t>Baseline End</t>
  </si>
  <si>
    <t>Baseline Duration</t>
  </si>
  <si>
    <t>Start</t>
  </si>
  <si>
    <t>Finish</t>
  </si>
  <si>
    <t>Duration</t>
  </si>
  <si>
    <t>% Complete</t>
  </si>
  <si>
    <t>Actual Start</t>
  </si>
  <si>
    <t>Actual End</t>
  </si>
  <si>
    <t>Actual Duration</t>
  </si>
  <si>
    <t>Est. Cost</t>
  </si>
  <si>
    <t>Bar Color</t>
  </si>
  <si>
    <t>% Color</t>
  </si>
  <si>
    <t>Baseline Color</t>
  </si>
  <si>
    <t>Actual Color</t>
  </si>
  <si>
    <t>TimelineStart</t>
  </si>
  <si>
    <t>TimelineEnd</t>
  </si>
  <si>
    <t>RS1</t>
  </si>
  <si>
    <t>s0n84</t>
  </si>
  <si>
    <t>Type here to add a new task</t>
  </si>
  <si>
    <t>Project Lead: Click to edit</t>
  </si>
  <si>
    <t>thong</t>
  </si>
  <si>
    <t>9031419786979019629490109259235292593497</t>
  </si>
  <si>
    <t>Quick Start Guide</t>
  </si>
  <si>
    <t>1</t>
  </si>
  <si>
    <r>
      <t>Project Budget</t>
    </r>
    <r>
      <rPr>
        <sz val="10"/>
        <color rgb="FF808080"/>
        <rFont val="Arial"/>
        <family val="2"/>
        <scheme val="minor"/>
      </rPr>
      <t xml:space="preserve">: Estimated: $0.00 | Baseline: $0.00 | </t>
    </r>
    <r>
      <rPr>
        <b/>
        <sz val="10"/>
        <color rgb="FF808080"/>
        <rFont val="Arial"/>
        <family val="2"/>
        <scheme val="minor"/>
      </rPr>
      <t>Task Costs</t>
    </r>
    <r>
      <rPr>
        <sz val="10"/>
        <color rgb="FF808080"/>
        <rFont val="Arial"/>
        <family val="2"/>
        <scheme val="minor"/>
      </rPr>
      <t>: Estimated: $0.00 | Baseline: $0.00 | Actual: $0.00</t>
    </r>
  </si>
  <si>
    <t>2</t>
  </si>
  <si>
    <t>Bắt đầu</t>
  </si>
  <si>
    <t>Đánh giá &amp; Khuyến nghị</t>
  </si>
  <si>
    <t>1.1</t>
  </si>
  <si>
    <t>1.2</t>
  </si>
  <si>
    <t>Phát triển các điều lệ dự án</t>
  </si>
  <si>
    <t>Phát triển các trường hợp kinh doanh</t>
  </si>
  <si>
    <t>1.3</t>
  </si>
  <si>
    <t>Gửi Điều lệ Dự án, Gửi trường hợp kinh doanh</t>
  </si>
  <si>
    <t>1.4</t>
  </si>
  <si>
    <t>Nhà tài trợ dự án Đánh giá Điều lệ dự án và trường hợp kinh doanh</t>
  </si>
  <si>
    <t>1.5</t>
  </si>
  <si>
    <t>Điều lệ dự án Đã ký / Phê duyệt</t>
  </si>
  <si>
    <t>1.6</t>
  </si>
  <si>
    <t>Lập kế hoạch</t>
  </si>
  <si>
    <t>Tạo Tuyên bố Phạm vi Sơ bộ</t>
  </si>
  <si>
    <t>2.1</t>
  </si>
  <si>
    <t>Xác định nhóm dự án</t>
  </si>
  <si>
    <t>2.2</t>
  </si>
  <si>
    <t>Họp khởi động nhóm dự án</t>
  </si>
  <si>
    <t>2.3</t>
  </si>
  <si>
    <t>Phát triển kế hoạch dự án</t>
  </si>
  <si>
    <t>2.4</t>
  </si>
  <si>
    <t>2.5</t>
  </si>
  <si>
    <t>Gửi kế hoạch dự án</t>
  </si>
  <si>
    <t>2.6</t>
  </si>
  <si>
    <t>Mốc quan trọng: Phê duyệt kế hoạch dự án</t>
  </si>
  <si>
    <t>2.7</t>
  </si>
  <si>
    <t>thêm vào</t>
  </si>
  <si>
    <t>điều chỉnh priority</t>
  </si>
  <si>
    <t>HH</t>
  </si>
  <si>
    <t>Mon - 18-Apr-22</t>
  </si>
  <si>
    <t>Tue - 19-Apr-22</t>
  </si>
  <si>
    <t>Wed - 20-Apr-22</t>
  </si>
  <si>
    <t>Thu - 21-Apr-22</t>
  </si>
  <si>
    <t>Fri - 22-Apr-22</t>
  </si>
  <si>
    <t>Sat - 23-Apr-22</t>
  </si>
  <si>
    <t>Sun - 24-Apr-22</t>
  </si>
  <si>
    <t>Mon - 25-Apr-22</t>
  </si>
  <si>
    <t>Tue - 26-Apr-22</t>
  </si>
  <si>
    <t>Wed - 27-Apr-22</t>
  </si>
  <si>
    <t>12 A</t>
  </si>
  <si>
    <t>01 A</t>
  </si>
  <si>
    <t>02 A</t>
  </si>
  <si>
    <t>03 A</t>
  </si>
  <si>
    <t>04 A</t>
  </si>
  <si>
    <t>05 A</t>
  </si>
  <si>
    <t>06 A</t>
  </si>
  <si>
    <t>07 A</t>
  </si>
  <si>
    <t>08 A</t>
  </si>
  <si>
    <t>09 A</t>
  </si>
  <si>
    <t>10 A</t>
  </si>
  <si>
    <t>11 A</t>
  </si>
  <si>
    <t>12 P</t>
  </si>
  <si>
    <t>01 P</t>
  </si>
  <si>
    <t>02 P</t>
  </si>
  <si>
    <t>03 P</t>
  </si>
  <si>
    <t>04 P</t>
  </si>
  <si>
    <t>05 P</t>
  </si>
  <si>
    <t>06 P</t>
  </si>
  <si>
    <t>07 P</t>
  </si>
  <si>
    <t>08 P</t>
  </si>
  <si>
    <t>09 P</t>
  </si>
  <si>
    <t>10 P</t>
  </si>
  <si>
    <t>11 P</t>
  </si>
  <si>
    <t>In Progress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</si>
</sst>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164" formatCode="&quot;$&quot;\ #,##0"/>
    <numFmt numFmtId="165" formatCode="ddd\ dd\-mmm\-yy\ hh:mm\ AM/PM"/>
    <numFmt numFmtId="166" formatCode="[$$-409]#,##0.00"/>
  </numFmts>
  <fonts count="48">
    <font>
      <sz val="11"/>
      <color theme="1"/>
      <name val="Arial"/>
      <family val="2"/>
      <scheme val="minor"/>
    </font>
    <font>
      <b/>
      <sz val="15"/>
      <color theme="3"/>
      <name val="Arial"/>
      <family val="2"/>
      <scheme val="minor"/>
    </font>
    <font>
      <u/>
      <sz val="11"/>
      <color theme="10"/>
      <name val="Arial"/>
      <family val="2"/>
      <scheme val="minor"/>
    </font>
    <font>
      <u/>
      <sz val="10"/>
      <color theme="10"/>
      <name val="Arial"/>
      <family val="2"/>
      <scheme val="minor"/>
    </font>
    <font>
      <b/>
      <sz val="24"/>
      <color rgb="FF00B0F0"/>
      <name val="Arial"/>
      <family val="2"/>
      <scheme val="minor"/>
    </font>
    <font>
      <sz val="8"/>
      <color theme="0"/>
      <name val="Arial"/>
      <family val="2"/>
      <scheme val="minor"/>
    </font>
    <font>
      <sz val="10"/>
      <color theme="0"/>
      <name val="Arial"/>
      <family val="2"/>
      <scheme val="minor"/>
    </font>
    <font>
      <sz val="10"/>
      <color theme="1"/>
      <name val="Arial"/>
      <family val="2"/>
      <scheme val="minor"/>
    </font>
    <font>
      <sz val="10"/>
      <color rgb="FFFF0000"/>
      <name val="Arial"/>
      <family val="2"/>
      <scheme val="minor"/>
    </font>
    <font>
      <sz val="10"/>
      <name val="Arial"/>
      <family val="2"/>
      <scheme val="minor"/>
    </font>
    <font>
      <b/>
      <sz val="7"/>
      <color rgb="FF00B0F0"/>
      <name val="Arial"/>
      <family val="2"/>
      <scheme val="minor"/>
    </font>
    <font>
      <b/>
      <sz val="10"/>
      <color theme="1"/>
      <name val="Arial"/>
      <family val="2"/>
      <scheme val="minor"/>
    </font>
    <font>
      <b/>
      <sz val="11"/>
      <color rgb="FF00B0F0"/>
      <name val="Arial"/>
      <family val="2"/>
      <scheme val="minor"/>
    </font>
    <font>
      <u/>
      <sz val="11"/>
      <color theme="11"/>
      <name val="Arial"/>
      <family val="2"/>
      <scheme val="minor"/>
    </font>
    <font>
      <i/>
      <sz val="11"/>
      <color theme="1"/>
      <name val="Arial"/>
      <family val="2"/>
      <scheme val="minor"/>
    </font>
    <font>
      <b/>
      <sz val="10"/>
      <color theme="4" tint="-0.499984740745262"/>
      <name val="Arial"/>
      <family val="2"/>
      <scheme val="minor"/>
    </font>
    <font>
      <b/>
      <sz val="14"/>
      <color rgb="FFFF0000"/>
      <name val="Arial"/>
      <family val="2"/>
      <scheme val="minor"/>
    </font>
    <font>
      <sz val="9"/>
      <color theme="1"/>
      <name val="Arial"/>
      <family val="2"/>
      <scheme val="minor"/>
    </font>
    <font>
      <sz val="11"/>
      <color rgb="FFFF0000"/>
      <name val="Arial"/>
      <family val="2"/>
      <scheme val="minor"/>
    </font>
    <font>
      <sz val="11"/>
      <color rgb="FF000000"/>
      <name val="Calibri"/>
      <family val="2"/>
    </font>
    <font>
      <sz val="26"/>
      <color rgb="FF00B0F0"/>
      <name val="Arial"/>
      <family val="2"/>
      <scheme val="minor"/>
    </font>
    <font>
      <sz val="28"/>
      <color theme="1"/>
      <name val="Arial"/>
      <family val="2"/>
      <scheme val="minor"/>
    </font>
    <font>
      <sz val="28"/>
      <color rgb="FFFF0000"/>
      <name val="Arial"/>
      <family val="2"/>
      <scheme val="minor"/>
    </font>
    <font>
      <sz val="28"/>
      <color theme="9" tint="-0.249977111117893"/>
      <name val="Arial"/>
      <family val="2"/>
      <scheme val="minor"/>
    </font>
    <font>
      <sz val="8"/>
      <name val="Arial"/>
      <family val="2"/>
      <scheme val="minor"/>
    </font>
    <font>
      <b/>
      <sz val="12"/>
      <color rgb="FF00B0F0"/>
      <name val="Arial"/>
      <family val="2"/>
      <scheme val="minor"/>
    </font>
    <font>
      <sz val="11"/>
      <color theme="1"/>
      <name val="Arial"/>
      <family val="2"/>
      <scheme val="minor"/>
    </font>
    <font>
      <sz val="11"/>
      <color theme="8"/>
      <name val="Arial"/>
      <family val="2"/>
      <scheme val="minor"/>
    </font>
    <font>
      <sz val="11"/>
      <color theme="0"/>
      <name val="Arial"/>
      <family val="2"/>
      <scheme val="minor"/>
    </font>
    <font>
      <sz val="9"/>
      <color theme="1"/>
      <name val="Verdana"/>
      <family val="2"/>
    </font>
    <font>
      <sz val="10"/>
      <name val="Arial"/>
      <family val="2"/>
    </font>
    <font>
      <sz val="11"/>
      <color rgb="FF000000"/>
      <name val="Arial"/>
      <family val="2"/>
      <scheme val="minor"/>
    </font>
    <font>
      <sz val="10"/>
      <color rgb="FF000000"/>
      <name val="Arial"/>
      <family val="2"/>
      <scheme val="minor"/>
    </font>
    <font>
      <b/>
      <sz val="9"/>
      <color rgb="FF000000"/>
      <name val="Arial"/>
      <family val="2"/>
      <scheme val="minor"/>
    </font>
    <font>
      <sz val="10"/>
      <color rgb="FF808080"/>
      <name val="Arial"/>
      <family val="2"/>
      <scheme val="minor"/>
    </font>
    <font>
      <sz val="11"/>
      <color rgb="FF4472C4"/>
      <name val="Arial"/>
      <family val="2"/>
      <scheme val="minor"/>
    </font>
    <font>
      <sz val="8"/>
      <color rgb="FF000000"/>
      <name val="Arial"/>
      <family val="2"/>
      <scheme val="minor"/>
    </font>
    <font>
      <sz val="8"/>
      <color rgb="FF000000"/>
      <name val="Arial"/>
      <family val="2"/>
    </font>
    <font>
      <b/>
      <sz val="10"/>
      <color rgb="FFFFFFFF"/>
      <name val="Arial"/>
      <family val="2"/>
      <scheme val="minor"/>
    </font>
    <font>
      <b/>
      <sz val="16"/>
      <color rgb="FFFFFFFF"/>
      <name val="Arial"/>
      <family val="2"/>
      <scheme val="minor"/>
    </font>
    <font>
      <b/>
      <sz val="10"/>
      <color rgb="FF808080"/>
      <name val="Arial"/>
      <family val="2"/>
      <scheme val="minor"/>
    </font>
    <font>
      <sz val="10"/>
      <color rgb="FF6DD9FF"/>
      <name val="Wingdings 3"/>
      <family val="1"/>
      <charset val="2"/>
    </font>
    <font>
      <i/>
      <sz val="12"/>
      <color rgb="FF000000"/>
      <name val="Times New Roman"/>
      <family val="1"/>
    </font>
    <font>
      <sz val="10"/>
      <color rgb="FF000000"/>
      <name val="Times New Roman"/>
      <family val="1"/>
    </font>
    <font>
      <b/>
      <sz val="10"/>
      <color rgb="FF000000"/>
      <name val="Arial"/>
      <family val="2"/>
      <scheme val="minor"/>
    </font>
    <font>
      <b/>
      <sz val="8"/>
      <color rgb="FF000000"/>
      <name val="Arial"/>
      <family val="2"/>
      <scheme val="minor"/>
    </font>
    <font>
      <b/>
      <sz val="10"/>
      <color rgb="FF000000"/>
      <name val="Times New Roman"/>
      <family val="1"/>
    </font>
    <font>
      <sz val="10"/>
      <color rgb="FFA8E7FE"/>
      <name val="Wingdings 3"/>
      <family val="1"/>
      <charset val="2"/>
    </font>
  </fonts>
  <fills count="51">
    <fill>
      <patternFill patternType="none"/>
    </fill>
    <fill>
      <patternFill patternType="gray125"/>
    </fill>
    <fill>
      <patternFill patternType="solid">
        <fgColor rgb="FF00B0F0"/>
        <bgColor indexed="64"/>
      </patternFill>
    </fill>
    <fill>
      <patternFill patternType="solid">
        <fgColor theme="0" tint="-4.9989318521683403E-2"/>
        <bgColor indexed="64"/>
      </patternFill>
    </fill>
    <fill>
      <patternFill patternType="solid">
        <fgColor theme="0"/>
        <bgColor indexed="64"/>
      </patternFill>
    </fill>
    <fill>
      <patternFill patternType="solid">
        <fgColor theme="4" tint="0.59999389629810485"/>
        <bgColor indexed="64"/>
      </patternFill>
    </fill>
    <fill>
      <patternFill patternType="solid">
        <fgColor rgb="FFD0F789"/>
        <bgColor indexed="64"/>
      </patternFill>
    </fill>
    <fill>
      <patternFill patternType="solid">
        <fgColor rgb="FFA6F020"/>
        <bgColor indexed="64"/>
      </patternFill>
    </fill>
    <fill>
      <patternFill patternType="solid">
        <fgColor theme="2" tint="-0.249977111117893"/>
        <bgColor indexed="64"/>
      </patternFill>
    </fill>
    <fill>
      <patternFill patternType="solid">
        <fgColor rgb="FFFFE699"/>
        <bgColor indexed="64"/>
      </patternFill>
    </fill>
    <fill>
      <patternFill patternType="solid">
        <fgColor theme="1"/>
        <bgColor indexed="64"/>
      </patternFill>
    </fill>
    <fill>
      <patternFill patternType="solid">
        <fgColor rgb="FFFF0000"/>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0" tint="-0.34998626667073579"/>
        <bgColor indexed="64"/>
      </patternFill>
    </fill>
    <fill>
      <patternFill patternType="solid">
        <fgColor rgb="FFCCFFFF"/>
        <bgColor indexed="64"/>
      </patternFill>
    </fill>
    <fill>
      <patternFill patternType="solid">
        <fgColor theme="7"/>
        <bgColor indexed="64"/>
      </patternFill>
    </fill>
    <fill>
      <patternFill patternType="solid">
        <fgColor theme="9"/>
        <bgColor indexed="64"/>
      </patternFill>
    </fill>
    <fill>
      <patternFill patternType="solid">
        <fgColor theme="5" tint="0.39997558519241921"/>
        <bgColor indexed="64"/>
      </patternFill>
    </fill>
    <fill>
      <patternFill patternType="solid">
        <fgColor theme="4" tint="-0.249977111117893"/>
        <bgColor indexed="64"/>
      </patternFill>
    </fill>
    <fill>
      <patternFill patternType="solid">
        <fgColor theme="3" tint="0.79998168889431442"/>
        <bgColor indexed="64"/>
      </patternFill>
    </fill>
    <fill>
      <patternFill patternType="solid">
        <fgColor theme="4" tint="0.39997558519241921"/>
        <bgColor indexed="64"/>
      </patternFill>
    </fill>
    <fill>
      <patternFill patternType="solid">
        <fgColor theme="9" tint="0.59999389629810485"/>
        <bgColor indexed="64"/>
      </patternFill>
    </fill>
    <fill>
      <patternFill patternType="solid">
        <fgColor theme="9" tint="-0.499984740745262"/>
        <bgColor indexed="64"/>
      </patternFill>
    </fill>
    <fill>
      <patternFill patternType="solid">
        <fgColor theme="1" tint="0.249977111117893"/>
        <bgColor indexed="64"/>
      </patternFill>
    </fill>
    <fill>
      <patternFill patternType="solid">
        <fgColor theme="1" tint="0.14999847407452621"/>
        <bgColor indexed="64"/>
      </patternFill>
    </fill>
    <fill>
      <patternFill patternType="solid">
        <fgColor theme="0" tint="-0.499984740745262"/>
        <bgColor indexed="64"/>
      </patternFill>
    </fill>
    <fill>
      <patternFill patternType="solid">
        <fgColor theme="9" tint="0.79998168889431442"/>
        <bgColor indexed="64"/>
      </patternFill>
    </fill>
    <fill>
      <patternFill patternType="solid">
        <fgColor rgb="FFE5FBBD"/>
        <bgColor indexed="64"/>
      </patternFill>
    </fill>
    <fill>
      <patternFill patternType="solid">
        <fgColor rgb="FF6DD9FF"/>
        <bgColor indexed="64"/>
      </patternFill>
    </fill>
    <fill>
      <patternFill patternType="solid">
        <fgColor rgb="FFA8E7FE"/>
        <bgColor indexed="64"/>
      </patternFill>
    </fill>
    <fill>
      <patternFill patternType="solid">
        <fgColor rgb="FFFFFFFF"/>
        <bgColor indexed="64"/>
      </patternFill>
    </fill>
    <fill>
      <patternFill patternType="solid">
        <fgColor rgb="FF000000"/>
        <bgColor indexed="64"/>
      </patternFill>
    </fill>
    <fill>
      <patternFill patternType="solid">
        <fgColor rgb="FF262626"/>
        <bgColor indexed="64"/>
      </patternFill>
    </fill>
    <fill>
      <patternFill patternType="solid">
        <fgColor rgb="FFCCECFF"/>
        <bgColor indexed="64"/>
      </patternFill>
    </fill>
    <fill>
      <patternFill patternType="solid">
        <fgColor rgb="FFC1EFFF"/>
        <bgColor indexed="64"/>
      </patternFill>
    </fill>
    <fill>
      <patternFill patternType="solid">
        <fgColor rgb="FFF0F9FE"/>
        <bgColor indexed="64"/>
      </patternFill>
    </fill>
    <fill>
      <patternFill patternType="solid">
        <fgColor rgb="FFF0FFDD"/>
        <bgColor indexed="64"/>
      </patternFill>
    </fill>
    <fill>
      <patternFill patternType="solid">
        <fgColor rgb="FFDCF9A9"/>
        <bgColor indexed="64"/>
      </patternFill>
    </fill>
    <fill>
      <patternFill patternType="solid">
        <fgColor rgb="FF33CCFF"/>
        <bgColor indexed="64"/>
      </patternFill>
    </fill>
    <fill>
      <patternFill patternType="solid">
        <fgColor rgb="FF3399FF"/>
        <bgColor indexed="64"/>
      </patternFill>
    </fill>
    <fill>
      <patternFill patternType="solid">
        <fgColor rgb="FFFFCC00"/>
        <bgColor indexed="64"/>
      </patternFill>
    </fill>
    <fill>
      <patternFill patternType="solid">
        <fgColor rgb="FFFFCC66"/>
        <bgColor indexed="64"/>
      </patternFill>
    </fill>
    <fill>
      <patternFill patternType="solid">
        <fgColor rgb="FFEAEAEA"/>
        <bgColor indexed="64"/>
      </patternFill>
    </fill>
    <fill>
      <patternFill patternType="solid">
        <fgColor rgb="FF99CCFF"/>
        <bgColor indexed="64"/>
      </patternFill>
    </fill>
    <fill>
      <patternFill patternType="solid">
        <fgColor rgb="FFFF9900"/>
        <bgColor indexed="64"/>
      </patternFill>
    </fill>
    <fill>
      <patternFill patternType="solid">
        <fgColor rgb="FF00CC00"/>
        <bgColor indexed="64"/>
      </patternFill>
    </fill>
    <fill>
      <patternFill patternType="solid">
        <fgColor rgb="FF00DA00"/>
        <bgColor indexed="64"/>
      </patternFill>
    </fill>
    <fill>
      <patternFill patternType="solid">
        <fgColor rgb="FF4472C4"/>
        <bgColor indexed="64"/>
      </patternFill>
    </fill>
    <fill>
      <patternFill patternType="solid">
        <fgColor rgb="FFA7E8FF"/>
        <bgColor indexed="64"/>
      </patternFill>
    </fill>
    <fill>
      <patternFill patternType="solid">
        <fgColor theme="8"/>
        <bgColor indexed="64"/>
      </patternFill>
    </fill>
  </fills>
  <borders count="18">
    <border>
      <left/>
      <right/>
      <top/>
      <bottom/>
      <diagonal/>
    </border>
    <border>
      <left/>
      <right/>
      <top/>
      <bottom style="thick">
        <color theme="4"/>
      </bottom>
      <diagonal/>
    </border>
    <border>
      <left/>
      <right/>
      <top style="thick">
        <color theme="4"/>
      </top>
      <bottom/>
      <diagonal/>
    </border>
    <border>
      <left style="thin">
        <color rgb="FF00B0F0"/>
      </left>
      <right style="thin">
        <color rgb="FF00B0F0"/>
      </right>
      <top style="thin">
        <color rgb="FF00B0F0"/>
      </top>
      <bottom style="thin">
        <color rgb="FF00B0F0"/>
      </bottom>
      <diagonal/>
    </border>
    <border>
      <left/>
      <right/>
      <top style="thin">
        <color rgb="FF00B0F0"/>
      </top>
      <bottom style="thin">
        <color rgb="FF00B0F0"/>
      </bottom>
      <diagonal/>
    </border>
    <border>
      <left style="thin">
        <color rgb="FFCCFFFF"/>
      </left>
      <right/>
      <top/>
      <bottom/>
      <diagonal/>
    </border>
    <border>
      <left/>
      <right/>
      <top style="thin">
        <color rgb="FFCCFFFF"/>
      </top>
      <bottom/>
      <diagonal/>
    </border>
    <border>
      <left/>
      <right style="thin">
        <color rgb="FFCCFFFF"/>
      </right>
      <top style="thin">
        <color rgb="FFCCFFFF"/>
      </top>
      <bottom/>
      <diagonal/>
    </border>
    <border>
      <left style="thin">
        <color rgb="FFCCFFFF"/>
      </left>
      <right style="thin">
        <color rgb="FFCCFFFF"/>
      </right>
      <top style="thin">
        <color rgb="FFCCFFFF"/>
      </top>
      <bottom/>
      <diagonal/>
    </border>
    <border>
      <left/>
      <right/>
      <top/>
      <bottom style="thin">
        <color rgb="FFCCFFFF"/>
      </bottom>
      <diagonal/>
    </border>
    <border>
      <left/>
      <right style="thin">
        <color rgb="FFCCFFFF"/>
      </right>
      <top/>
      <bottom style="thin">
        <color rgb="FFCCFFFF"/>
      </bottom>
      <diagonal/>
    </border>
    <border>
      <left style="thin">
        <color rgb="FFCCFFFF"/>
      </left>
      <right style="thin">
        <color rgb="FFCCFFFF"/>
      </right>
      <top/>
      <bottom style="thin">
        <color rgb="FFCCFFFF"/>
      </bottom>
      <diagonal/>
    </border>
    <border>
      <left/>
      <right/>
      <top style="thin">
        <color rgb="FFCCFFFF"/>
      </top>
      <bottom style="thin">
        <color rgb="FFCCFFFF"/>
      </bottom>
      <diagonal/>
    </border>
    <border>
      <left/>
      <right style="thin">
        <color rgb="FFCCFFFF"/>
      </right>
      <top style="thin">
        <color rgb="FFCCFFFF"/>
      </top>
      <bottom style="thin">
        <color rgb="FFCCFFFF"/>
      </bottom>
      <diagonal/>
    </border>
    <border>
      <left style="thin">
        <color rgb="FFCCFFFF"/>
      </left>
      <right style="thin">
        <color rgb="FFCCFFFF"/>
      </right>
      <top style="thin">
        <color rgb="FFCCFFFF"/>
      </top>
      <bottom style="thin">
        <color rgb="FFCCFFFF"/>
      </bottom>
      <diagonal/>
    </border>
    <border>
      <left/>
      <right/>
      <top style="thin">
        <color rgb="FFFF0000"/>
      </top>
      <bottom style="thin">
        <color rgb="FFFF0000"/>
      </bottom>
      <diagonal/>
    </border>
    <border>
      <left/>
      <right style="thin">
        <color rgb="FFCCFFFF"/>
      </right>
      <top style="thin">
        <color rgb="FFFF0000"/>
      </top>
      <bottom style="thin">
        <color rgb="FFFF0000"/>
      </bottom>
      <diagonal/>
    </border>
    <border>
      <left style="thin">
        <color rgb="FFCCFFFF"/>
      </left>
      <right style="thin">
        <color rgb="FFCCFFFF"/>
      </right>
      <top style="thin">
        <color rgb="FFFF0000"/>
      </top>
      <bottom style="thin">
        <color rgb="FFFF0000"/>
      </bottom>
      <diagonal/>
    </border>
  </borders>
  <cellStyleXfs count="203">
    <xf numFmtId="0" fontId="0" fillId="0" borderId="0"/>
    <xf numFmtId="0" fontId="1" fillId="0" borderId="1" applyNumberFormat="0" applyFill="0" applyAlignment="0" applyProtection="0"/>
    <xf numFmtId="0" fontId="2"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9" fontId="26" fillId="0" borderId="0" applyFont="0" applyFill="0" applyBorder="0" applyAlignment="0" applyProtection="0"/>
    <xf numFmtId="0" fontId="30" fillId="0" borderId="0"/>
    <xf numFmtId="0" fontId="2" fillId="0" borderId="0" applyNumberFormat="0" applyFill="0" applyBorder="0" applyAlignment="0" applyProtection="0"/>
  </cellStyleXfs>
  <cellXfs count="281">
    <xf numFmtId="0" fontId="0" fillId="0" borderId="0" xfId="0"/>
    <xf numFmtId="0" fontId="0" fillId="4" borderId="0" xfId="0" applyFill="1"/>
    <xf numFmtId="0" fontId="0" fillId="0" borderId="0" xfId="0" applyProtection="1">
      <protection locked="0"/>
    </xf>
    <xf numFmtId="3" fontId="8" fillId="0" borderId="0" xfId="0" applyNumberFormat="1" applyFont="1"/>
    <xf numFmtId="3" fontId="7" fillId="0" borderId="0" xfId="0" applyNumberFormat="1" applyFont="1"/>
    <xf numFmtId="15" fontId="7" fillId="0" borderId="0" xfId="0" applyNumberFormat="1" applyFont="1"/>
    <xf numFmtId="0" fontId="7" fillId="0" borderId="0" xfId="0" applyFont="1" applyAlignment="1">
      <alignment horizontal="right"/>
    </xf>
    <xf numFmtId="0" fontId="0" fillId="4" borderId="0" xfId="0" applyFill="1" applyProtection="1">
      <protection locked="0"/>
    </xf>
    <xf numFmtId="0" fontId="12" fillId="0" borderId="0" xfId="0" applyFont="1" applyAlignment="1">
      <alignment horizontal="left" vertical="center"/>
    </xf>
    <xf numFmtId="0" fontId="0" fillId="0" borderId="0" xfId="0" applyBorder="1"/>
    <xf numFmtId="0" fontId="0" fillId="0" borderId="0" xfId="0" applyBorder="1"/>
    <xf numFmtId="0" fontId="17" fillId="0" borderId="0" xfId="0" applyFont="1" applyBorder="1"/>
    <xf numFmtId="0" fontId="0" fillId="0" borderId="0" xfId="0" applyFill="1" applyBorder="1"/>
    <xf numFmtId="0" fontId="0" fillId="0" borderId="0" xfId="0" applyBorder="1" applyProtection="1">
      <protection locked="0"/>
    </xf>
    <xf numFmtId="4" fontId="0" fillId="0" borderId="0" xfId="0" applyNumberFormat="1" applyBorder="1" applyProtection="1">
      <protection locked="0"/>
    </xf>
    <xf numFmtId="14" fontId="0" fillId="0" borderId="0" xfId="0" applyNumberFormat="1" applyBorder="1" applyProtection="1">
      <protection locked="0"/>
    </xf>
    <xf numFmtId="0" fontId="0" fillId="30" borderId="0" xfId="0" applyFill="1" applyBorder="1"/>
    <xf numFmtId="0" fontId="0" fillId="29" borderId="0" xfId="0" applyFill="1" applyBorder="1"/>
    <xf numFmtId="0" fontId="0" fillId="9" borderId="0" xfId="0" applyFill="1" applyBorder="1"/>
    <xf numFmtId="0" fontId="0" fillId="2" borderId="0" xfId="0" applyFill="1" applyBorder="1"/>
    <xf numFmtId="0" fontId="0" fillId="11" borderId="0" xfId="0" applyFill="1" applyBorder="1"/>
    <xf numFmtId="0" fontId="0" fillId="32" borderId="0" xfId="0" applyFill="1" applyBorder="1"/>
    <xf numFmtId="0" fontId="0" fillId="15" borderId="0" xfId="0" applyFill="1" applyBorder="1"/>
    <xf numFmtId="0" fontId="0" fillId="6" borderId="0" xfId="0" applyFill="1" applyBorder="1"/>
    <xf numFmtId="0" fontId="0" fillId="28" borderId="0" xfId="0" applyFill="1" applyBorder="1"/>
    <xf numFmtId="0" fontId="0" fillId="31" borderId="0" xfId="0" applyFill="1" applyBorder="1"/>
    <xf numFmtId="0" fontId="0" fillId="33" borderId="0" xfId="0" applyFill="1" applyBorder="1"/>
    <xf numFmtId="1" fontId="0" fillId="0" borderId="0" xfId="0" applyNumberFormat="1" applyBorder="1"/>
    <xf numFmtId="0" fontId="0" fillId="16" borderId="0" xfId="0" applyFill="1" applyBorder="1"/>
    <xf numFmtId="0" fontId="0" fillId="10" borderId="0" xfId="0" applyFill="1" applyBorder="1"/>
    <xf numFmtId="0" fontId="0" fillId="12" borderId="0" xfId="0" applyFill="1" applyBorder="1"/>
    <xf numFmtId="0" fontId="0" fillId="5" borderId="0" xfId="0" applyFill="1" applyBorder="1"/>
    <xf numFmtId="0" fontId="0" fillId="27" borderId="0" xfId="0" applyFill="1" applyBorder="1"/>
    <xf numFmtId="0" fontId="0" fillId="4" borderId="0" xfId="0" applyFill="1" applyBorder="1"/>
    <xf numFmtId="0" fontId="0" fillId="25" borderId="0" xfId="0" applyFill="1" applyBorder="1"/>
    <xf numFmtId="0" fontId="0" fillId="7" borderId="0" xfId="0" applyFill="1" applyBorder="1"/>
    <xf numFmtId="0" fontId="0" fillId="17" borderId="0" xfId="0" applyFill="1" applyBorder="1"/>
    <xf numFmtId="0" fontId="0" fillId="18" borderId="0" xfId="0" applyFill="1" applyBorder="1"/>
    <xf numFmtId="0" fontId="0" fillId="14" borderId="0" xfId="0" applyFill="1" applyBorder="1"/>
    <xf numFmtId="0" fontId="0" fillId="23" borderId="0" xfId="0" applyFill="1" applyBorder="1"/>
    <xf numFmtId="0" fontId="0" fillId="22" borderId="0" xfId="0" applyFill="1" applyBorder="1"/>
    <xf numFmtId="0" fontId="0" fillId="13" borderId="0" xfId="0" applyFill="1" applyBorder="1"/>
    <xf numFmtId="0" fontId="0" fillId="26" borderId="0" xfId="0" applyFill="1" applyBorder="1"/>
    <xf numFmtId="0" fontId="0" fillId="20" borderId="0" xfId="0" applyFill="1" applyBorder="1"/>
    <xf numFmtId="0" fontId="0" fillId="19" borderId="0" xfId="0" applyFill="1" applyBorder="1"/>
    <xf numFmtId="0" fontId="0" fillId="24" borderId="0" xfId="0" applyFill="1" applyBorder="1"/>
    <xf numFmtId="0" fontId="0" fillId="8" borderId="0" xfId="0" applyFill="1" applyBorder="1"/>
    <xf numFmtId="0" fontId="0" fillId="21" borderId="0" xfId="0" applyFill="1" applyBorder="1"/>
    <xf numFmtId="0" fontId="0" fillId="0" borderId="0" xfId="0" applyFill="1" applyBorder="1" applyProtection="1">
      <protection locked="0"/>
    </xf>
    <xf numFmtId="49" fontId="0" fillId="0" borderId="0" xfId="0" applyNumberFormat="1" applyFill="1" applyBorder="1"/>
    <xf numFmtId="14" fontId="0" fillId="0" borderId="0" xfId="0" applyNumberFormat="1" applyFill="1" applyBorder="1" applyProtection="1">
      <protection locked="0"/>
    </xf>
    <xf numFmtId="0" fontId="0" fillId="0" borderId="0" xfId="0" applyNumberFormat="1" applyFill="1" applyBorder="1"/>
    <xf numFmtId="0" fontId="0" fillId="0" borderId="0" xfId="0"/>
    <xf numFmtId="0" fontId="0" fillId="34" borderId="0" xfId="0" applyFill="1" applyBorder="1"/>
    <xf numFmtId="0" fontId="0" fillId="35" borderId="0" xfId="0" applyFill="1" applyBorder="1"/>
    <xf numFmtId="0" fontId="0" fillId="3" borderId="0" xfId="0" applyFill="1" applyBorder="1"/>
    <xf numFmtId="0" fontId="0" fillId="0" borderId="0" xfId="0"/>
    <xf numFmtId="0" fontId="0" fillId="0" borderId="0" xfId="0"/>
    <xf numFmtId="0" fontId="0" fillId="36" borderId="0" xfId="0" applyFill="1" applyBorder="1"/>
    <xf numFmtId="0" fontId="0" fillId="37" borderId="0" xfId="0" applyFill="1" applyBorder="1"/>
    <xf numFmtId="0" fontId="0" fillId="0" borderId="0" xfId="0"/>
    <xf numFmtId="0" fontId="0" fillId="38" borderId="0" xfId="0" applyFill="1" applyBorder="1"/>
    <xf numFmtId="0" fontId="0" fillId="0" borderId="0" xfId="0"/>
    <xf numFmtId="0" fontId="0" fillId="0" borderId="0" xfId="0"/>
    <xf numFmtId="0" fontId="6" fillId="4" borderId="0" xfId="0" applyFont="1" applyFill="1" applyBorder="1"/>
    <xf numFmtId="0" fontId="5" fillId="4" borderId="0" xfId="0" applyFont="1" applyFill="1" applyBorder="1"/>
    <xf numFmtId="49" fontId="0" fillId="0" borderId="0" xfId="0" applyNumberFormat="1" applyBorder="1"/>
    <xf numFmtId="0" fontId="4" fillId="4" borderId="0" xfId="0" applyFont="1" applyFill="1" applyBorder="1" applyAlignment="1">
      <alignment horizontal="left" vertical="center" indent="5"/>
    </xf>
    <xf numFmtId="0" fontId="3" fillId="4" borderId="0" xfId="0" applyFont="1" applyFill="1" applyBorder="1" applyProtection="1">
      <protection locked="0"/>
    </xf>
    <xf numFmtId="0" fontId="15" fillId="4" borderId="0" xfId="0" applyFont="1" applyFill="1" applyBorder="1" applyAlignment="1">
      <alignment horizontal="left" vertical="center"/>
    </xf>
    <xf numFmtId="0" fontId="4" fillId="2" borderId="0" xfId="0" applyFont="1" applyFill="1" applyBorder="1" applyAlignment="1">
      <alignment horizontal="left" vertical="center" indent="5"/>
    </xf>
    <xf numFmtId="0" fontId="3" fillId="2" borderId="0" xfId="0" applyFont="1" applyFill="1" applyBorder="1" applyProtection="1">
      <protection locked="0"/>
    </xf>
    <xf numFmtId="0" fontId="18" fillId="0" borderId="0" xfId="0" applyFont="1" applyBorder="1"/>
    <xf numFmtId="0" fontId="16" fillId="4" borderId="0" xfId="0" applyFont="1" applyFill="1" applyBorder="1"/>
    <xf numFmtId="0" fontId="0" fillId="4" borderId="0" xfId="0" applyFill="1" applyBorder="1" applyAlignment="1">
      <alignment horizontal="center"/>
    </xf>
    <xf numFmtId="0" fontId="14" fillId="0" borderId="0" xfId="0" applyFont="1" applyBorder="1"/>
    <xf numFmtId="0" fontId="0" fillId="0" borderId="0" xfId="0" applyBorder="1"/>
    <xf numFmtId="0" fontId="0" fillId="39" borderId="0" xfId="0" applyFill="1" applyBorder="1"/>
    <xf numFmtId="0" fontId="0" fillId="40" borderId="0" xfId="0" applyFill="1" applyBorder="1"/>
    <xf numFmtId="0" fontId="0" fillId="41" borderId="0" xfId="0" applyFill="1" applyBorder="1"/>
    <xf numFmtId="0" fontId="0" fillId="42" borderId="0" xfId="0" applyFill="1" applyBorder="1"/>
    <xf numFmtId="0" fontId="0" fillId="43" borderId="0" xfId="0" applyFill="1" applyBorder="1"/>
    <xf numFmtId="0" fontId="0" fillId="44" borderId="0" xfId="0" applyFill="1" applyBorder="1"/>
    <xf numFmtId="0" fontId="0" fillId="45" borderId="0" xfId="0" applyFill="1" applyBorder="1"/>
    <xf numFmtId="0" fontId="0" fillId="46" borderId="0" xfId="0" applyFill="1" applyBorder="1"/>
    <xf numFmtId="0" fontId="0" fillId="47" borderId="0" xfId="0" applyFill="1" applyBorder="1"/>
    <xf numFmtId="0" fontId="0" fillId="48" borderId="0" xfId="0" applyFill="1" applyBorder="1"/>
    <xf numFmtId="0" fontId="0" fillId="0" borderId="0" xfId="0"/>
    <xf numFmtId="0" fontId="0" fillId="0" borderId="0" xfId="0"/>
    <xf numFmtId="14" fontId="0" fillId="0" borderId="0" xfId="0" applyNumberFormat="1"/>
    <xf numFmtId="0" fontId="21" fillId="0" borderId="0" xfId="0" applyFont="1" applyFill="1" applyAlignment="1"/>
    <xf numFmtId="0" fontId="0" fillId="0" borderId="0" xfId="0"/>
    <xf numFmtId="0" fontId="0" fillId="48" borderId="0" xfId="0" applyFill="1"/>
    <xf numFmtId="0" fontId="0" fillId="0" borderId="0" xfId="0"/>
    <xf numFmtId="0" fontId="0" fillId="0" borderId="0" xfId="0" pivotButton="1"/>
    <xf numFmtId="0" fontId="0" fillId="0" borderId="0" xfId="0" applyNumberFormat="1"/>
    <xf numFmtId="0" fontId="0" fillId="0" borderId="0" xfId="0" applyAlignment="1">
      <alignment horizontal="left"/>
    </xf>
    <xf numFmtId="0" fontId="0" fillId="0" borderId="0" xfId="0"/>
    <xf numFmtId="0" fontId="0" fillId="0" borderId="0" xfId="0" applyFill="1"/>
    <xf numFmtId="3" fontId="9" fillId="0" borderId="0" xfId="0" applyNumberFormat="1" applyFont="1" applyBorder="1"/>
    <xf numFmtId="0" fontId="7" fillId="0" borderId="0" xfId="0" applyFont="1" applyBorder="1"/>
    <xf numFmtId="0" fontId="11" fillId="0" borderId="3" xfId="0" applyFont="1" applyBorder="1"/>
    <xf numFmtId="0" fontId="7" fillId="0" borderId="3" xfId="0" applyFont="1" applyBorder="1" applyAlignment="1">
      <alignment horizontal="right"/>
    </xf>
    <xf numFmtId="0" fontId="7" fillId="0" borderId="3" xfId="0" applyFont="1" applyBorder="1"/>
    <xf numFmtId="15" fontId="7" fillId="0" borderId="3" xfId="0" applyNumberFormat="1" applyFont="1" applyBorder="1"/>
    <xf numFmtId="3" fontId="7" fillId="0" borderId="3" xfId="0" applyNumberFormat="1" applyFont="1" applyBorder="1"/>
    <xf numFmtId="3" fontId="9" fillId="0" borderId="3" xfId="0" applyNumberFormat="1" applyFont="1" applyBorder="1"/>
    <xf numFmtId="0" fontId="1" fillId="49" borderId="1" xfId="1" applyFill="1" applyAlignment="1">
      <alignment vertical="center"/>
    </xf>
    <xf numFmtId="0" fontId="1" fillId="49" borderId="1" xfId="1" applyFill="1"/>
    <xf numFmtId="0" fontId="1" fillId="49" borderId="1" xfId="1" applyFill="1" applyProtection="1">
      <protection locked="0"/>
    </xf>
    <xf numFmtId="9" fontId="1" fillId="49" borderId="1" xfId="1" applyNumberFormat="1" applyFill="1" applyProtection="1">
      <protection locked="0"/>
    </xf>
    <xf numFmtId="0" fontId="0" fillId="48" borderId="0" xfId="0" applyFill="1" applyProtection="1">
      <protection locked="0"/>
    </xf>
    <xf numFmtId="0" fontId="0" fillId="0" borderId="0" xfId="0" applyAlignment="1">
      <alignment horizontal="center"/>
    </xf>
    <xf numFmtId="0" fontId="25" fillId="0" borderId="0" xfId="0" applyFont="1" applyAlignment="1"/>
    <xf numFmtId="9" fontId="0" fillId="0" borderId="0" xfId="200" applyFont="1" applyProtection="1">
      <protection locked="0"/>
    </xf>
    <xf numFmtId="0" fontId="7" fillId="0" borderId="4" xfId="0" applyFont="1" applyBorder="1"/>
    <xf numFmtId="15" fontId="7" fillId="0" borderId="4" xfId="0" applyNumberFormat="1" applyFont="1" applyBorder="1"/>
    <xf numFmtId="0" fontId="27" fillId="48" borderId="0" xfId="0" applyFont="1" applyFill="1"/>
    <xf numFmtId="0" fontId="17" fillId="0" borderId="0" xfId="0" applyFont="1" applyProtection="1">
      <protection locked="0"/>
    </xf>
    <xf numFmtId="2" fontId="17" fillId="0" borderId="0" xfId="0" applyNumberFormat="1" applyFont="1" applyProtection="1">
      <protection locked="0"/>
    </xf>
    <xf numFmtId="14" fontId="17" fillId="0" borderId="0" xfId="0" applyNumberFormat="1" applyFont="1" applyProtection="1">
      <protection locked="0"/>
    </xf>
    <xf numFmtId="9" fontId="17" fillId="0" borderId="0" xfId="0" applyNumberFormat="1" applyFont="1" applyProtection="1">
      <protection locked="0"/>
    </xf>
    <xf numFmtId="9" fontId="17" fillId="0" borderId="0" xfId="200" applyFont="1" applyProtection="1">
      <protection locked="0"/>
    </xf>
    <xf numFmtId="0" fontId="0" fillId="0" borderId="0" xfId="0"/>
    <xf numFmtId="0" fontId="28" fillId="50" borderId="0" xfId="0" applyFont="1" applyFill="1"/>
    <xf numFmtId="0" fontId="25" fillId="0" borderId="0" xfId="0" applyFont="1" applyBorder="1" applyAlignment="1"/>
    <xf numFmtId="14" fontId="0" fillId="0" borderId="0" xfId="0" applyNumberFormat="1" applyAlignment="1">
      <alignment horizontal="left"/>
    </xf>
    <xf numFmtId="0" fontId="0" fillId="0" borderId="0" xfId="0"/>
    <xf numFmtId="0" fontId="0" fillId="0" borderId="0" xfId="0"/>
    <xf numFmtId="164" fontId="0" fillId="0" borderId="0" xfId="0" applyNumberFormat="1"/>
    <xf numFmtId="0" fontId="0" fillId="0" borderId="0" xfId="0"/>
    <xf numFmtId="0" fontId="0" fillId="0" borderId="0" xfId="0"/>
    <xf numFmtId="0" fontId="18" fillId="0" borderId="0" xfId="0" applyFont="1"/>
    <xf numFmtId="18" fontId="0" fillId="0" borderId="0" xfId="0" applyNumberFormat="1"/>
    <xf numFmtId="0" fontId="32" fillId="0" borderId="0" xfId="0" applyFont="1" applyAlignment="1">
      <alignment horizontal="center" vertical="center"/>
    </xf>
    <xf numFmtId="9" fontId="32" fillId="0" borderId="0" xfId="0" applyNumberFormat="1" applyFont="1" applyAlignment="1">
      <alignment horizontal="center" vertical="center"/>
    </xf>
    <xf numFmtId="0" fontId="32" fillId="0" borderId="0" xfId="0" applyFont="1" applyAlignment="1">
      <alignment horizontal="left" vertical="center"/>
    </xf>
    <xf numFmtId="0" fontId="32" fillId="0" borderId="0" xfId="0" applyFont="1" applyAlignment="1">
      <alignment horizontal="right" vertical="center"/>
    </xf>
    <xf numFmtId="0" fontId="33" fillId="0" borderId="0" xfId="0" applyFont="1" applyAlignment="1">
      <alignment horizontal="center" vertical="center"/>
    </xf>
    <xf numFmtId="0" fontId="32" fillId="0" borderId="0" xfId="0" applyNumberFormat="1" applyFont="1" applyAlignment="1">
      <alignment horizontal="center" vertical="center"/>
    </xf>
    <xf numFmtId="0" fontId="32" fillId="48" borderId="0" xfId="0" applyFont="1" applyFill="1" applyAlignment="1">
      <alignment horizontal="center" vertical="center"/>
    </xf>
    <xf numFmtId="0" fontId="32" fillId="48" borderId="0" xfId="0" applyFont="1" applyFill="1" applyAlignment="1">
      <alignment horizontal="left" vertical="center"/>
    </xf>
    <xf numFmtId="0" fontId="33" fillId="48" borderId="0" xfId="0" applyFont="1" applyFill="1" applyAlignment="1">
      <alignment horizontal="center" vertical="center"/>
    </xf>
    <xf numFmtId="0" fontId="32" fillId="48" borderId="0" xfId="0" applyFont="1" applyFill="1" applyAlignment="1">
      <alignment horizontal="right" vertical="center"/>
    </xf>
    <xf numFmtId="9" fontId="32" fillId="48" borderId="0" xfId="0" applyNumberFormat="1" applyFont="1" applyFill="1" applyAlignment="1">
      <alignment horizontal="center" vertical="center"/>
    </xf>
    <xf numFmtId="0" fontId="32" fillId="48" borderId="0" xfId="0" applyNumberFormat="1" applyFont="1" applyFill="1" applyAlignment="1">
      <alignment horizontal="center" vertical="center"/>
    </xf>
    <xf numFmtId="0" fontId="35" fillId="48" borderId="0" xfId="0" applyFont="1" applyFill="1"/>
    <xf numFmtId="0" fontId="37" fillId="28" borderId="0" xfId="0" applyFont="1" applyFill="1" applyAlignment="1">
      <alignment horizontal="left" vertical="center"/>
    </xf>
    <xf numFmtId="0" fontId="37" fillId="6" borderId="0" xfId="0" applyFont="1" applyFill="1" applyAlignment="1">
      <alignment horizontal="left" vertical="center"/>
    </xf>
    <xf numFmtId="0" fontId="0" fillId="0" borderId="5" xfId="0" applyBorder="1"/>
    <xf numFmtId="49" fontId="32" fillId="0" borderId="0" xfId="0" applyNumberFormat="1" applyFont="1" applyAlignment="1">
      <alignment horizontal="left" vertical="center"/>
    </xf>
    <xf numFmtId="49" fontId="39" fillId="48" borderId="0" xfId="0" applyNumberFormat="1" applyFont="1" applyFill="1" applyAlignment="1">
      <alignment horizontal="left" vertical="center"/>
    </xf>
    <xf numFmtId="49" fontId="34" fillId="0" borderId="0" xfId="0" applyNumberFormat="1" applyFont="1" applyAlignment="1">
      <alignment horizontal="left" vertical="center"/>
    </xf>
    <xf numFmtId="0" fontId="32" fillId="0" borderId="0" xfId="0" applyFont="1" applyBorder="1" applyAlignment="1">
      <alignment horizontal="center" vertical="center"/>
    </xf>
    <xf numFmtId="49" fontId="32" fillId="0" borderId="0" xfId="0" applyNumberFormat="1" applyFont="1" applyBorder="1" applyAlignment="1">
      <alignment horizontal="left" vertical="center"/>
    </xf>
    <xf numFmtId="0" fontId="33" fillId="0" borderId="0" xfId="0" applyFont="1" applyBorder="1" applyAlignment="1">
      <alignment horizontal="center" vertical="center"/>
    </xf>
    <xf numFmtId="0" fontId="32" fillId="0" borderId="0" xfId="0" applyFont="1" applyBorder="1" applyAlignment="1">
      <alignment horizontal="left" vertical="center"/>
    </xf>
    <xf numFmtId="0" fontId="32" fillId="0" borderId="0" xfId="0" applyFont="1" applyBorder="1" applyAlignment="1">
      <alignment horizontal="right" vertical="center"/>
    </xf>
    <xf numFmtId="165" fontId="32" fillId="0" borderId="0" xfId="0" applyNumberFormat="1" applyFont="1" applyBorder="1" applyAlignment="1">
      <alignment horizontal="right" vertical="center"/>
    </xf>
    <xf numFmtId="9" fontId="32" fillId="0" borderId="0" xfId="0" applyNumberFormat="1" applyFont="1" applyBorder="1" applyAlignment="1">
      <alignment horizontal="center" vertical="center"/>
    </xf>
    <xf numFmtId="0" fontId="32" fillId="0" borderId="0" xfId="0" applyNumberFormat="1" applyFont="1" applyBorder="1" applyAlignment="1">
      <alignment horizontal="center" vertical="center"/>
    </xf>
    <xf numFmtId="0" fontId="32" fillId="0" borderId="9" xfId="0" applyFont="1" applyBorder="1" applyAlignment="1">
      <alignment horizontal="center" vertical="center"/>
    </xf>
    <xf numFmtId="49" fontId="40" fillId="0" borderId="9" xfId="0" applyNumberFormat="1" applyFont="1" applyBorder="1" applyAlignment="1">
      <alignment horizontal="left" vertical="center"/>
    </xf>
    <xf numFmtId="0" fontId="32" fillId="0" borderId="9" xfId="0" applyFont="1" applyBorder="1" applyAlignment="1">
      <alignment horizontal="left" vertical="center"/>
    </xf>
    <xf numFmtId="0" fontId="33" fillId="0" borderId="9" xfId="0" applyFont="1" applyBorder="1" applyAlignment="1">
      <alignment horizontal="center" vertical="center"/>
    </xf>
    <xf numFmtId="0" fontId="32" fillId="0" borderId="9" xfId="0" applyFont="1" applyBorder="1" applyAlignment="1">
      <alignment horizontal="right" vertical="center"/>
    </xf>
    <xf numFmtId="9" fontId="32" fillId="0" borderId="9" xfId="0" applyNumberFormat="1" applyFont="1" applyBorder="1" applyAlignment="1">
      <alignment horizontal="center" vertical="center"/>
    </xf>
    <xf numFmtId="0" fontId="32" fillId="0" borderId="9" xfId="0" applyNumberFormat="1" applyFont="1" applyBorder="1" applyAlignment="1">
      <alignment horizontal="center" vertical="center"/>
    </xf>
    <xf numFmtId="0" fontId="32" fillId="0" borderId="10" xfId="0" applyFont="1" applyBorder="1" applyAlignment="1">
      <alignment horizontal="center" vertical="center"/>
    </xf>
    <xf numFmtId="0" fontId="37" fillId="31" borderId="11" xfId="0" applyFont="1" applyFill="1" applyBorder="1" applyAlignment="1">
      <alignment horizontal="center" vertical="center"/>
    </xf>
    <xf numFmtId="49" fontId="32" fillId="0" borderId="12" xfId="0" applyNumberFormat="1" applyFont="1" applyFill="1" applyBorder="1" applyAlignment="1">
      <alignment horizontal="left" vertical="center"/>
    </xf>
    <xf numFmtId="0" fontId="32" fillId="0" borderId="12" xfId="0" applyFont="1" applyFill="1" applyBorder="1" applyAlignment="1">
      <alignment horizontal="left" vertical="center"/>
    </xf>
    <xf numFmtId="0" fontId="38" fillId="45" borderId="12" xfId="0" applyFont="1" applyFill="1" applyBorder="1" applyAlignment="1">
      <alignment horizontal="center" vertical="center"/>
    </xf>
    <xf numFmtId="0" fontId="36" fillId="0" borderId="12" xfId="0" applyFont="1" applyFill="1" applyBorder="1" applyAlignment="1">
      <alignment horizontal="center" vertical="center"/>
    </xf>
    <xf numFmtId="166" fontId="32" fillId="0" borderId="12" xfId="0" applyNumberFormat="1" applyFont="1" applyFill="1" applyBorder="1" applyAlignment="1">
      <alignment horizontal="right" vertical="center"/>
    </xf>
    <xf numFmtId="165" fontId="32" fillId="0" borderId="12" xfId="0" applyNumberFormat="1" applyFont="1" applyFill="1" applyBorder="1" applyAlignment="1">
      <alignment horizontal="right" vertical="center"/>
    </xf>
    <xf numFmtId="0" fontId="32" fillId="0" borderId="12" xfId="0" applyFont="1" applyFill="1" applyBorder="1" applyAlignment="1">
      <alignment horizontal="right" vertical="center"/>
    </xf>
    <xf numFmtId="0" fontId="32" fillId="0" borderId="12" xfId="0" applyFont="1" applyFill="1" applyBorder="1" applyAlignment="1">
      <alignment horizontal="center" vertical="center"/>
    </xf>
    <xf numFmtId="9" fontId="32" fillId="0" borderId="12" xfId="0" applyNumberFormat="1" applyFont="1" applyFill="1" applyBorder="1" applyAlignment="1">
      <alignment horizontal="center" vertical="center"/>
    </xf>
    <xf numFmtId="0" fontId="32" fillId="0" borderId="12" xfId="0" applyNumberFormat="1" applyFont="1" applyFill="1" applyBorder="1" applyAlignment="1">
      <alignment horizontal="left" vertical="center"/>
    </xf>
    <xf numFmtId="0" fontId="32" fillId="0" borderId="13" xfId="0" applyFont="1" applyFill="1" applyBorder="1" applyAlignment="1">
      <alignment horizontal="left" vertical="center"/>
    </xf>
    <xf numFmtId="0" fontId="31" fillId="0" borderId="0" xfId="0" applyFont="1" applyBorder="1"/>
    <xf numFmtId="0" fontId="32" fillId="28" borderId="12" xfId="0" applyFont="1" applyFill="1" applyBorder="1" applyAlignment="1">
      <alignment horizontal="center" vertical="center"/>
    </xf>
    <xf numFmtId="49" fontId="32" fillId="28" borderId="12" xfId="0" applyNumberFormat="1" applyFont="1" applyFill="1" applyBorder="1" applyAlignment="1">
      <alignment horizontal="center" vertical="center"/>
    </xf>
    <xf numFmtId="9" fontId="32" fillId="28" borderId="12" xfId="0" applyNumberFormat="1" applyFont="1" applyFill="1" applyBorder="1" applyAlignment="1">
      <alignment horizontal="center" vertical="center"/>
    </xf>
    <xf numFmtId="0" fontId="32" fillId="28" borderId="12" xfId="0" applyNumberFormat="1" applyFont="1" applyFill="1" applyBorder="1" applyAlignment="1">
      <alignment horizontal="center" vertical="center"/>
    </xf>
    <xf numFmtId="0" fontId="32" fillId="28" borderId="13" xfId="0" applyFont="1" applyFill="1" applyBorder="1" applyAlignment="1">
      <alignment horizontal="center" vertical="center"/>
    </xf>
    <xf numFmtId="0" fontId="32" fillId="7" borderId="12" xfId="0" applyFont="1" applyFill="1" applyBorder="1" applyAlignment="1">
      <alignment horizontal="left" vertical="center"/>
    </xf>
    <xf numFmtId="0" fontId="0" fillId="0" borderId="14" xfId="0" applyFill="1" applyBorder="1"/>
    <xf numFmtId="0" fontId="38" fillId="45" borderId="6" xfId="0" applyFont="1" applyFill="1" applyBorder="1" applyAlignment="1">
      <alignment horizontal="center" vertical="center"/>
    </xf>
    <xf numFmtId="0" fontId="41" fillId="0" borderId="12" xfId="0" applyFont="1" applyBorder="1" applyAlignment="1">
      <alignment horizontal="center" vertical="center"/>
    </xf>
    <xf numFmtId="0" fontId="32" fillId="7" borderId="6" xfId="0" applyFont="1" applyFill="1" applyBorder="1" applyAlignment="1">
      <alignment horizontal="left" vertical="center"/>
    </xf>
    <xf numFmtId="0" fontId="0" fillId="0" borderId="8" xfId="0" applyFill="1" applyBorder="1"/>
    <xf numFmtId="0" fontId="32" fillId="0" borderId="12" xfId="0" applyNumberFormat="1" applyFont="1" applyFill="1" applyBorder="1" applyAlignment="1">
      <alignment horizontal="right" vertical="center"/>
    </xf>
    <xf numFmtId="0" fontId="31" fillId="0" borderId="0" xfId="0" applyFont="1"/>
    <xf numFmtId="49" fontId="32" fillId="0" borderId="6" xfId="0" applyNumberFormat="1" applyFont="1" applyFill="1" applyBorder="1" applyAlignment="1">
      <alignment horizontal="left" vertical="center"/>
    </xf>
    <xf numFmtId="0" fontId="32" fillId="0" borderId="6" xfId="0" applyFont="1" applyFill="1" applyBorder="1" applyAlignment="1">
      <alignment horizontal="left" vertical="center"/>
    </xf>
    <xf numFmtId="0" fontId="36" fillId="0" borderId="6" xfId="0" applyFont="1" applyFill="1" applyBorder="1" applyAlignment="1">
      <alignment horizontal="center" vertical="center"/>
    </xf>
    <xf numFmtId="166" fontId="32" fillId="0" borderId="6" xfId="0" applyNumberFormat="1" applyFont="1" applyFill="1" applyBorder="1" applyAlignment="1">
      <alignment horizontal="right" vertical="center"/>
    </xf>
    <xf numFmtId="165" fontId="32" fillId="0" borderId="6" xfId="0" applyNumberFormat="1" applyFont="1" applyFill="1" applyBorder="1" applyAlignment="1">
      <alignment horizontal="right" vertical="center"/>
    </xf>
    <xf numFmtId="0" fontId="32" fillId="0" borderId="6" xfId="0" applyFont="1" applyFill="1" applyBorder="1" applyAlignment="1">
      <alignment horizontal="right" vertical="center"/>
    </xf>
    <xf numFmtId="0" fontId="32" fillId="0" borderId="6" xfId="0" applyFont="1" applyFill="1" applyBorder="1" applyAlignment="1">
      <alignment horizontal="center" vertical="center"/>
    </xf>
    <xf numFmtId="9" fontId="32" fillId="0" borderId="6" xfId="0" applyNumberFormat="1" applyFont="1" applyFill="1" applyBorder="1" applyAlignment="1">
      <alignment horizontal="center" vertical="center"/>
    </xf>
    <xf numFmtId="0" fontId="32" fillId="0" borderId="6" xfId="0" applyNumberFormat="1" applyFont="1" applyFill="1" applyBorder="1" applyAlignment="1">
      <alignment horizontal="left" vertical="center"/>
    </xf>
    <xf numFmtId="0" fontId="32" fillId="0" borderId="7" xfId="0" applyFont="1" applyFill="1" applyBorder="1" applyAlignment="1">
      <alignment horizontal="left" vertical="center"/>
    </xf>
    <xf numFmtId="49" fontId="44" fillId="0" borderId="12" xfId="0" applyNumberFormat="1" applyFont="1" applyFill="1" applyBorder="1" applyAlignment="1">
      <alignment horizontal="left" vertical="center"/>
    </xf>
    <xf numFmtId="0" fontId="44" fillId="0" borderId="12" xfId="0" applyFont="1" applyFill="1" applyBorder="1" applyAlignment="1">
      <alignment horizontal="left" vertical="center"/>
    </xf>
    <xf numFmtId="0" fontId="45" fillId="0" borderId="12" xfId="0" applyFont="1" applyFill="1" applyBorder="1" applyAlignment="1">
      <alignment horizontal="center" vertical="center"/>
    </xf>
    <xf numFmtId="166" fontId="44" fillId="0" borderId="12" xfId="0" applyNumberFormat="1" applyFont="1" applyFill="1" applyBorder="1" applyAlignment="1">
      <alignment horizontal="right" vertical="center"/>
    </xf>
    <xf numFmtId="165" fontId="44" fillId="0" borderId="12" xfId="0" applyNumberFormat="1" applyFont="1" applyFill="1" applyBorder="1" applyAlignment="1">
      <alignment horizontal="right" vertical="center"/>
    </xf>
    <xf numFmtId="0" fontId="44" fillId="0" borderId="12" xfId="0" applyFont="1" applyFill="1" applyBorder="1" applyAlignment="1">
      <alignment horizontal="right" vertical="center"/>
    </xf>
    <xf numFmtId="9" fontId="44" fillId="0" borderId="12" xfId="0" applyNumberFormat="1" applyFont="1" applyFill="1" applyBorder="1" applyAlignment="1">
      <alignment horizontal="center" vertical="center"/>
    </xf>
    <xf numFmtId="0" fontId="44" fillId="0" borderId="12" xfId="0" applyNumberFormat="1" applyFont="1" applyFill="1" applyBorder="1" applyAlignment="1">
      <alignment horizontal="left" vertical="center"/>
    </xf>
    <xf numFmtId="0" fontId="43" fillId="0" borderId="12" xfId="0" applyNumberFormat="1" applyFont="1" applyFill="1" applyBorder="1" applyAlignment="1">
      <alignment horizontal="left" vertical="center" indent="1"/>
    </xf>
    <xf numFmtId="0" fontId="41" fillId="0" borderId="6" xfId="0" applyFont="1" applyBorder="1" applyAlignment="1">
      <alignment horizontal="center" vertical="center"/>
    </xf>
    <xf numFmtId="0" fontId="43" fillId="0" borderId="6" xfId="0" applyNumberFormat="1" applyFont="1" applyFill="1" applyBorder="1" applyAlignment="1">
      <alignment horizontal="left" vertical="center" indent="1"/>
    </xf>
    <xf numFmtId="0" fontId="32" fillId="0" borderId="6" xfId="0" applyNumberFormat="1" applyFont="1" applyFill="1" applyBorder="1" applyAlignment="1">
      <alignment horizontal="right" vertical="center"/>
    </xf>
    <xf numFmtId="0" fontId="46" fillId="0" borderId="12" xfId="0" applyNumberFormat="1" applyFont="1" applyFill="1" applyBorder="1" applyAlignment="1">
      <alignment horizontal="left" vertical="center"/>
    </xf>
    <xf numFmtId="0" fontId="44" fillId="0" borderId="12" xfId="0" applyNumberFormat="1" applyFont="1" applyFill="1" applyBorder="1" applyAlignment="1">
      <alignment horizontal="right" vertical="center"/>
    </xf>
    <xf numFmtId="0" fontId="32" fillId="7" borderId="9" xfId="0" applyFont="1" applyFill="1" applyBorder="1" applyAlignment="1">
      <alignment horizontal="left" vertical="center"/>
    </xf>
    <xf numFmtId="0" fontId="41" fillId="0" borderId="9" xfId="0" applyFont="1" applyBorder="1" applyAlignment="1">
      <alignment horizontal="center" vertical="center"/>
    </xf>
    <xf numFmtId="49" fontId="32" fillId="0" borderId="9" xfId="0" applyNumberFormat="1" applyFont="1" applyFill="1" applyBorder="1" applyAlignment="1">
      <alignment horizontal="left" vertical="center"/>
    </xf>
    <xf numFmtId="0" fontId="43" fillId="0" borderId="9" xfId="0" applyNumberFormat="1" applyFont="1" applyFill="1" applyBorder="1" applyAlignment="1">
      <alignment horizontal="left" vertical="center" indent="1"/>
    </xf>
    <xf numFmtId="0" fontId="38" fillId="45" borderId="9" xfId="0" applyFont="1" applyFill="1" applyBorder="1" applyAlignment="1">
      <alignment horizontal="center" vertical="center"/>
    </xf>
    <xf numFmtId="0" fontId="36" fillId="0" borderId="9" xfId="0" applyFont="1" applyFill="1" applyBorder="1" applyAlignment="1">
      <alignment horizontal="center" vertical="center"/>
    </xf>
    <xf numFmtId="0" fontId="32" fillId="0" borderId="9" xfId="0" applyFont="1" applyFill="1" applyBorder="1" applyAlignment="1">
      <alignment horizontal="left" vertical="center"/>
    </xf>
    <xf numFmtId="166" fontId="32" fillId="0" borderId="9" xfId="0" applyNumberFormat="1" applyFont="1" applyFill="1" applyBorder="1" applyAlignment="1">
      <alignment horizontal="right" vertical="center"/>
    </xf>
    <xf numFmtId="165" fontId="32" fillId="0" borderId="9" xfId="0" applyNumberFormat="1" applyFont="1" applyFill="1" applyBorder="1" applyAlignment="1">
      <alignment horizontal="right" vertical="center"/>
    </xf>
    <xf numFmtId="0" fontId="32" fillId="0" borderId="9" xfId="0" applyFont="1" applyFill="1" applyBorder="1" applyAlignment="1">
      <alignment horizontal="right" vertical="center"/>
    </xf>
    <xf numFmtId="0" fontId="32" fillId="0" borderId="9" xfId="0" applyNumberFormat="1" applyFont="1" applyFill="1" applyBorder="1" applyAlignment="1">
      <alignment horizontal="right" vertical="center"/>
    </xf>
    <xf numFmtId="0" fontId="32" fillId="0" borderId="9" xfId="0" applyFont="1" applyFill="1" applyBorder="1" applyAlignment="1">
      <alignment horizontal="center" vertical="center"/>
    </xf>
    <xf numFmtId="9" fontId="32" fillId="0" borderId="9" xfId="0" applyNumberFormat="1" applyFont="1" applyFill="1" applyBorder="1" applyAlignment="1">
      <alignment horizontal="center" vertical="center"/>
    </xf>
    <xf numFmtId="0" fontId="32" fillId="0" borderId="9" xfId="0" applyNumberFormat="1" applyFont="1" applyFill="1" applyBorder="1" applyAlignment="1">
      <alignment horizontal="left" vertical="center"/>
    </xf>
    <xf numFmtId="0" fontId="32" fillId="0" borderId="10" xfId="0" applyFont="1" applyFill="1" applyBorder="1" applyAlignment="1">
      <alignment horizontal="left" vertical="center"/>
    </xf>
    <xf numFmtId="0" fontId="0" fillId="0" borderId="11" xfId="0" applyFill="1" applyBorder="1"/>
    <xf numFmtId="0" fontId="38" fillId="45" borderId="15" xfId="0" applyFont="1" applyFill="1" applyBorder="1" applyAlignment="1">
      <alignment horizontal="center" vertical="center"/>
    </xf>
    <xf numFmtId="0" fontId="32" fillId="0" borderId="15" xfId="0" applyFont="1" applyFill="1" applyBorder="1" applyAlignment="1">
      <alignment horizontal="center" vertical="center"/>
    </xf>
    <xf numFmtId="0" fontId="32" fillId="0" borderId="15" xfId="0" applyFont="1" applyFill="1" applyBorder="1" applyAlignment="1">
      <alignment horizontal="left" vertical="center"/>
    </xf>
    <xf numFmtId="0" fontId="32" fillId="0" borderId="16" xfId="0" applyFont="1" applyFill="1" applyBorder="1" applyAlignment="1">
      <alignment horizontal="left" vertical="center"/>
    </xf>
    <xf numFmtId="0" fontId="0" fillId="0" borderId="17" xfId="0" applyFill="1" applyBorder="1"/>
    <xf numFmtId="49" fontId="32" fillId="0" borderId="15" xfId="0" applyNumberFormat="1" applyFont="1" applyFill="1" applyBorder="1" applyAlignment="1">
      <alignment horizontal="left" vertical="center"/>
    </xf>
    <xf numFmtId="0" fontId="43" fillId="0" borderId="15" xfId="0" applyNumberFormat="1" applyFont="1" applyFill="1" applyBorder="1" applyAlignment="1">
      <alignment horizontal="left" vertical="center" indent="1"/>
    </xf>
    <xf numFmtId="0" fontId="36" fillId="0" borderId="15" xfId="0" applyFont="1" applyFill="1" applyBorder="1" applyAlignment="1">
      <alignment horizontal="center" vertical="center"/>
    </xf>
    <xf numFmtId="166" fontId="32" fillId="0" borderId="15" xfId="0" applyNumberFormat="1" applyFont="1" applyFill="1" applyBorder="1" applyAlignment="1">
      <alignment horizontal="right" vertical="center"/>
    </xf>
    <xf numFmtId="165" fontId="32" fillId="0" borderId="15" xfId="0" applyNumberFormat="1" applyFont="1" applyFill="1" applyBorder="1" applyAlignment="1">
      <alignment horizontal="right" vertical="center"/>
    </xf>
    <xf numFmtId="0" fontId="32" fillId="0" borderId="15" xfId="0" applyFont="1" applyFill="1" applyBorder="1" applyAlignment="1">
      <alignment horizontal="right" vertical="center"/>
    </xf>
    <xf numFmtId="0" fontId="32" fillId="0" borderId="15" xfId="0" applyNumberFormat="1" applyFont="1" applyFill="1" applyBorder="1" applyAlignment="1">
      <alignment horizontal="right" vertical="center"/>
    </xf>
    <xf numFmtId="9" fontId="32" fillId="0" borderId="15" xfId="0" applyNumberFormat="1" applyFont="1" applyFill="1" applyBorder="1" applyAlignment="1">
      <alignment horizontal="center" vertical="center"/>
    </xf>
    <xf numFmtId="0" fontId="32" fillId="0" borderId="15" xfId="0" applyNumberFormat="1" applyFont="1" applyFill="1" applyBorder="1" applyAlignment="1">
      <alignment horizontal="left" vertical="center"/>
    </xf>
    <xf numFmtId="0" fontId="32" fillId="0" borderId="6" xfId="0" applyFont="1" applyBorder="1" applyAlignment="1">
      <alignment horizontal="center" vertical="center"/>
    </xf>
    <xf numFmtId="49" fontId="32" fillId="0" borderId="6" xfId="0" applyNumberFormat="1" applyFont="1" applyBorder="1" applyAlignment="1">
      <alignment horizontal="left" vertical="center"/>
    </xf>
    <xf numFmtId="0" fontId="42" fillId="0" borderId="6" xfId="0" applyNumberFormat="1" applyFont="1" applyBorder="1" applyAlignment="1">
      <alignment horizontal="left" vertical="center"/>
    </xf>
    <xf numFmtId="0" fontId="33" fillId="0" borderId="6" xfId="0" applyFont="1" applyBorder="1" applyAlignment="1">
      <alignment horizontal="center" vertical="center"/>
    </xf>
    <xf numFmtId="0" fontId="32" fillId="0" borderId="6" xfId="0" applyFont="1" applyBorder="1" applyAlignment="1">
      <alignment horizontal="left" vertical="center"/>
    </xf>
    <xf numFmtId="0" fontId="32" fillId="0" borderId="6" xfId="0" applyFont="1" applyBorder="1" applyAlignment="1">
      <alignment horizontal="right" vertical="center"/>
    </xf>
    <xf numFmtId="165" fontId="32" fillId="0" borderId="6" xfId="0" applyNumberFormat="1" applyFont="1" applyBorder="1" applyAlignment="1">
      <alignment horizontal="right" vertical="center"/>
    </xf>
    <xf numFmtId="0" fontId="32" fillId="0" borderId="6" xfId="0" applyNumberFormat="1" applyFont="1" applyBorder="1" applyAlignment="1">
      <alignment horizontal="right" vertical="center"/>
    </xf>
    <xf numFmtId="9" fontId="32" fillId="0" borderId="6" xfId="0" applyNumberFormat="1" applyFont="1" applyBorder="1" applyAlignment="1">
      <alignment horizontal="center" vertical="center"/>
    </xf>
    <xf numFmtId="0" fontId="32" fillId="0" borderId="6" xfId="0" applyNumberFormat="1" applyFont="1" applyBorder="1" applyAlignment="1">
      <alignment horizontal="center" vertical="center"/>
    </xf>
    <xf numFmtId="0" fontId="0" fillId="0" borderId="6" xfId="0" applyBorder="1"/>
    <xf numFmtId="0" fontId="0" fillId="43" borderId="14" xfId="0" applyFill="1" applyBorder="1"/>
    <xf numFmtId="0" fontId="37" fillId="6" borderId="0" xfId="0" quotePrefix="1" applyFont="1" applyFill="1" applyAlignment="1">
      <alignment horizontal="left" vertical="center"/>
    </xf>
    <xf numFmtId="0" fontId="37" fillId="28" borderId="0" xfId="0" quotePrefix="1" applyFont="1" applyFill="1" applyAlignment="1">
      <alignment horizontal="left" vertical="center"/>
    </xf>
    <xf numFmtId="0" fontId="37" fillId="43" borderId="0" xfId="0" quotePrefix="1" applyFont="1" applyFill="1" applyAlignment="1">
      <alignment horizontal="left" vertical="center"/>
    </xf>
    <xf numFmtId="0" fontId="37" fillId="43" borderId="0" xfId="0" applyFont="1" applyFill="1" applyAlignment="1">
      <alignment horizontal="left" vertical="center"/>
    </xf>
    <xf numFmtId="49" fontId="37" fillId="28" borderId="14" xfId="0" applyNumberFormat="1" applyFont="1" applyFill="1" applyBorder="1" applyAlignment="1">
      <alignment horizontal="center" vertical="center"/>
    </xf>
    <xf numFmtId="0" fontId="32" fillId="38" borderId="12" xfId="0" applyFont="1" applyFill="1" applyBorder="1" applyAlignment="1">
      <alignment horizontal="left" vertical="center"/>
    </xf>
    <xf numFmtId="0" fontId="47" fillId="0" borderId="12" xfId="0" applyFont="1" applyFill="1" applyBorder="1" applyAlignment="1">
      <alignment horizontal="center" vertical="center"/>
    </xf>
    <xf numFmtId="0" fontId="32" fillId="38" borderId="15" xfId="0" applyFont="1" applyFill="1" applyBorder="1" applyAlignment="1">
      <alignment horizontal="left" vertical="center"/>
    </xf>
    <xf numFmtId="0" fontId="47" fillId="0" borderId="15" xfId="0" applyFont="1" applyBorder="1" applyAlignment="1">
      <alignment horizontal="center" vertical="center"/>
    </xf>
    <xf numFmtId="0" fontId="12" fillId="0" borderId="0" xfId="0" applyFont="1" applyAlignment="1">
      <alignment horizontal="center" vertical="center"/>
    </xf>
    <xf numFmtId="0" fontId="10" fillId="0" borderId="0" xfId="0" applyFont="1" applyAlignment="1">
      <alignment horizontal="center"/>
    </xf>
    <xf numFmtId="0" fontId="10" fillId="0" borderId="0" xfId="0" applyFont="1" applyBorder="1" applyAlignment="1">
      <alignment horizontal="center"/>
    </xf>
    <xf numFmtId="9" fontId="29" fillId="0" borderId="0" xfId="0" applyNumberFormat="1" applyFont="1" applyAlignment="1">
      <alignment horizontal="center" vertical="top"/>
    </xf>
    <xf numFmtId="0" fontId="1" fillId="49" borderId="1" xfId="1" applyFill="1" applyAlignment="1">
      <alignment horizontal="left" vertical="center"/>
    </xf>
    <xf numFmtId="0" fontId="28" fillId="0" borderId="0" xfId="0" applyFont="1" applyFill="1" applyBorder="1" applyAlignment="1">
      <alignment horizontal="left" vertical="center"/>
    </xf>
    <xf numFmtId="0" fontId="28" fillId="50" borderId="2" xfId="0" applyFont="1" applyFill="1" applyBorder="1" applyAlignment="1">
      <alignment horizontal="left" vertical="center"/>
    </xf>
    <xf numFmtId="0" fontId="2" fillId="0" borderId="0" xfId="202"/>
    <xf numFmtId="0" fontId="0" fillId="0" borderId="0" xfId="0"/>
    <xf numFmtId="0" fontId="20" fillId="0" borderId="0" xfId="0" applyFont="1" applyFill="1" applyAlignment="1">
      <alignment horizontal="center" vertical="center"/>
    </xf>
    <xf numFmtId="0" fontId="21" fillId="0" borderId="0" xfId="0" applyFont="1" applyFill="1" applyAlignment="1">
      <alignment horizontal="center"/>
    </xf>
  </cellXfs>
  <cellStyles count="203">
    <cellStyle name="Followed Hyperlink" xfId="3" builtinId="9" hidden="1"/>
    <cellStyle name="Followed Hyperlink" xfId="4" builtinId="9" hidden="1"/>
    <cellStyle name="Followed Hyperlink" xfId="5" builtinId="9" hidden="1"/>
    <cellStyle name="Followed Hyperlink" xfId="6" builtinId="9" hidden="1"/>
    <cellStyle name="Followed Hyperlink" xfId="7" builtinId="9" hidden="1"/>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Followed Hyperlink" xfId="27" builtinId="9" hidden="1"/>
    <cellStyle name="Followed Hyperlink" xfId="28" builtinId="9" hidden="1"/>
    <cellStyle name="Followed Hyperlink" xfId="29" builtinId="9" hidden="1"/>
    <cellStyle name="Followed Hyperlink" xfId="30" builtinId="9" hidden="1"/>
    <cellStyle name="Followed Hyperlink" xfId="31" builtinId="9" hidden="1"/>
    <cellStyle name="Followed Hyperlink" xfId="32" builtinId="9" hidden="1"/>
    <cellStyle name="Followed Hyperlink" xfId="33" builtinId="9" hidden="1"/>
    <cellStyle name="Followed Hyperlink" xfId="34" builtinId="9" hidden="1"/>
    <cellStyle name="Followed Hyperlink" xfId="35" builtinId="9" hidden="1"/>
    <cellStyle name="Followed Hyperlink" xfId="36" builtinId="9" hidden="1"/>
    <cellStyle name="Followed Hyperlink" xfId="37" builtinId="9" hidden="1"/>
    <cellStyle name="Followed Hyperlink" xfId="38" builtinId="9" hidden="1"/>
    <cellStyle name="Followed Hyperlink" xfId="39" builtinId="9" hidden="1"/>
    <cellStyle name="Followed Hyperlink" xfId="40" builtinId="9" hidden="1"/>
    <cellStyle name="Followed Hyperlink" xfId="41" builtinId="9" hidden="1"/>
    <cellStyle name="Followed Hyperlink" xfId="42" builtinId="9" hidden="1"/>
    <cellStyle name="Followed Hyperlink" xfId="43" builtinId="9" hidden="1"/>
    <cellStyle name="Followed Hyperlink" xfId="44" builtinId="9" hidden="1"/>
    <cellStyle name="Followed Hyperlink" xfId="45" builtinId="9" hidden="1"/>
    <cellStyle name="Followed Hyperlink" xfId="46" builtinId="9" hidden="1"/>
    <cellStyle name="Followed Hyperlink" xfId="47" builtinId="9" hidden="1"/>
    <cellStyle name="Followed Hyperlink" xfId="48" builtinId="9" hidden="1"/>
    <cellStyle name="Followed Hyperlink" xfId="49" builtinId="9" hidden="1"/>
    <cellStyle name="Followed Hyperlink" xfId="50" builtinId="9" hidden="1"/>
    <cellStyle name="Followed Hyperlink" xfId="51" builtinId="9" hidden="1"/>
    <cellStyle name="Followed Hyperlink" xfId="52" builtinId="9" hidden="1"/>
    <cellStyle name="Followed Hyperlink" xfId="53" builtinId="9" hidden="1"/>
    <cellStyle name="Followed Hyperlink" xfId="54" builtinId="9" hidden="1"/>
    <cellStyle name="Followed Hyperlink" xfId="55" builtinId="9" hidden="1"/>
    <cellStyle name="Followed Hyperlink" xfId="56" builtinId="9" hidden="1"/>
    <cellStyle name="Followed Hyperlink" xfId="57" builtinId="9" hidden="1"/>
    <cellStyle name="Followed Hyperlink" xfId="58" builtinId="9" hidden="1"/>
    <cellStyle name="Followed Hyperlink" xfId="59" builtinId="9" hidden="1"/>
    <cellStyle name="Followed Hyperlink" xfId="60" builtinId="9" hidden="1"/>
    <cellStyle name="Followed Hyperlink" xfId="61" builtinId="9" hidden="1"/>
    <cellStyle name="Followed Hyperlink" xfId="62" builtinId="9" hidden="1"/>
    <cellStyle name="Followed Hyperlink" xfId="63" builtinId="9" hidden="1"/>
    <cellStyle name="Followed Hyperlink" xfId="64" builtinId="9" hidden="1"/>
    <cellStyle name="Followed Hyperlink" xfId="65" builtinId="9" hidden="1"/>
    <cellStyle name="Followed Hyperlink" xfId="66" builtinId="9" hidden="1"/>
    <cellStyle name="Followed Hyperlink" xfId="67" builtinId="9" hidden="1"/>
    <cellStyle name="Followed Hyperlink" xfId="68" builtinId="9" hidden="1"/>
    <cellStyle name="Followed Hyperlink" xfId="69" builtinId="9" hidden="1"/>
    <cellStyle name="Followed Hyperlink" xfId="70" builtinId="9" hidden="1"/>
    <cellStyle name="Followed Hyperlink" xfId="71" builtinId="9" hidden="1"/>
    <cellStyle name="Followed Hyperlink" xfId="72" builtinId="9" hidden="1"/>
    <cellStyle name="Followed Hyperlink" xfId="73" builtinId="9" hidden="1"/>
    <cellStyle name="Followed Hyperlink" xfId="74" builtinId="9" hidden="1"/>
    <cellStyle name="Followed Hyperlink" xfId="75" builtinId="9" hidden="1"/>
    <cellStyle name="Followed Hyperlink" xfId="76" builtinId="9" hidden="1"/>
    <cellStyle name="Followed Hyperlink" xfId="77" builtinId="9" hidden="1"/>
    <cellStyle name="Followed Hyperlink" xfId="78" builtinId="9" hidden="1"/>
    <cellStyle name="Followed Hyperlink" xfId="79" builtinId="9" hidden="1"/>
    <cellStyle name="Followed Hyperlink" xfId="80" builtinId="9" hidden="1"/>
    <cellStyle name="Followed Hyperlink" xfId="81" builtinId="9" hidden="1"/>
    <cellStyle name="Followed Hyperlink" xfId="82" builtinId="9" hidden="1"/>
    <cellStyle name="Followed Hyperlink" xfId="83" builtinId="9" hidden="1"/>
    <cellStyle name="Followed Hyperlink" xfId="84" builtinId="9" hidden="1"/>
    <cellStyle name="Followed Hyperlink" xfId="85" builtinId="9" hidden="1"/>
    <cellStyle name="Followed Hyperlink" xfId="86" builtinId="9" hidden="1"/>
    <cellStyle name="Followed Hyperlink" xfId="87" builtinId="9" hidden="1"/>
    <cellStyle name="Followed Hyperlink" xfId="88" builtinId="9" hidden="1"/>
    <cellStyle name="Followed Hyperlink" xfId="89" builtinId="9" hidden="1"/>
    <cellStyle name="Followed Hyperlink" xfId="90" builtinId="9" hidden="1"/>
    <cellStyle name="Followed Hyperlink" xfId="91" builtinId="9" hidden="1"/>
    <cellStyle name="Followed Hyperlink" xfId="92" builtinId="9" hidden="1"/>
    <cellStyle name="Followed Hyperlink" xfId="93" builtinId="9" hidden="1"/>
    <cellStyle name="Followed Hyperlink" xfId="94" builtinId="9" hidden="1"/>
    <cellStyle name="Followed Hyperlink" xfId="95" builtinId="9" hidden="1"/>
    <cellStyle name="Followed Hyperlink" xfId="96" builtinId="9" hidden="1"/>
    <cellStyle name="Followed Hyperlink" xfId="97" builtinId="9" hidden="1"/>
    <cellStyle name="Followed Hyperlink" xfId="98" builtinId="9" hidden="1"/>
    <cellStyle name="Followed Hyperlink" xfId="99" builtinId="9" hidden="1"/>
    <cellStyle name="Followed Hyperlink" xfId="100" builtinId="9" hidden="1"/>
    <cellStyle name="Followed Hyperlink" xfId="101" builtinId="9" hidden="1"/>
    <cellStyle name="Followed Hyperlink" xfId="102" builtinId="9" hidden="1"/>
    <cellStyle name="Followed Hyperlink" xfId="103" builtinId="9" hidden="1"/>
    <cellStyle name="Followed Hyperlink" xfId="104" builtinId="9" hidden="1"/>
    <cellStyle name="Followed Hyperlink" xfId="105" builtinId="9" hidden="1"/>
    <cellStyle name="Followed Hyperlink" xfId="106" builtinId="9" hidden="1"/>
    <cellStyle name="Followed Hyperlink" xfId="107" builtinId="9" hidden="1"/>
    <cellStyle name="Followed Hyperlink" xfId="108" builtinId="9" hidden="1"/>
    <cellStyle name="Followed Hyperlink" xfId="109" builtinId="9" hidden="1"/>
    <cellStyle name="Followed Hyperlink" xfId="110" builtinId="9" hidden="1"/>
    <cellStyle name="Followed Hyperlink" xfId="111" builtinId="9" hidden="1"/>
    <cellStyle name="Followed Hyperlink" xfId="112" builtinId="9" hidden="1"/>
    <cellStyle name="Followed Hyperlink" xfId="113" builtinId="9" hidden="1"/>
    <cellStyle name="Followed Hyperlink" xfId="114" builtinId="9" hidden="1"/>
    <cellStyle name="Followed Hyperlink" xfId="115" builtinId="9" hidden="1"/>
    <cellStyle name="Followed Hyperlink" xfId="116" builtinId="9" hidden="1"/>
    <cellStyle name="Followed Hyperlink" xfId="117" builtinId="9" hidden="1"/>
    <cellStyle name="Followed Hyperlink" xfId="118" builtinId="9" hidden="1"/>
    <cellStyle name="Followed Hyperlink" xfId="119" builtinId="9" hidden="1"/>
    <cellStyle name="Followed Hyperlink" xfId="120" builtinId="9" hidden="1"/>
    <cellStyle name="Followed Hyperlink" xfId="121" builtinId="9" hidden="1"/>
    <cellStyle name="Followed Hyperlink" xfId="122" builtinId="9" hidden="1"/>
    <cellStyle name="Followed Hyperlink" xfId="123" builtinId="9" hidden="1"/>
    <cellStyle name="Followed Hyperlink" xfId="124" builtinId="9" hidden="1"/>
    <cellStyle name="Followed Hyperlink" xfId="125" builtinId="9" hidden="1"/>
    <cellStyle name="Followed Hyperlink" xfId="126" builtinId="9" hidden="1"/>
    <cellStyle name="Followed Hyperlink" xfId="127" builtinId="9" hidden="1"/>
    <cellStyle name="Followed Hyperlink" xfId="128" builtinId="9" hidden="1"/>
    <cellStyle name="Followed Hyperlink" xfId="129" builtinId="9" hidden="1"/>
    <cellStyle name="Followed Hyperlink" xfId="130" builtinId="9" hidden="1"/>
    <cellStyle name="Followed Hyperlink" xfId="131" builtinId="9" hidden="1"/>
    <cellStyle name="Followed Hyperlink" xfId="132" builtinId="9" hidden="1"/>
    <cellStyle name="Followed Hyperlink" xfId="133" builtinId="9" hidden="1"/>
    <cellStyle name="Followed Hyperlink" xfId="134" builtinId="9" hidden="1"/>
    <cellStyle name="Followed Hyperlink" xfId="135" builtinId="9" hidden="1"/>
    <cellStyle name="Followed Hyperlink" xfId="136" builtinId="9" hidden="1"/>
    <cellStyle name="Followed Hyperlink" xfId="137" builtinId="9" hidden="1"/>
    <cellStyle name="Followed Hyperlink" xfId="138" builtinId="9" hidden="1"/>
    <cellStyle name="Followed Hyperlink" xfId="139" builtinId="9" hidden="1"/>
    <cellStyle name="Followed Hyperlink" xfId="140" builtinId="9" hidden="1"/>
    <cellStyle name="Followed Hyperlink" xfId="141" builtinId="9" hidden="1"/>
    <cellStyle name="Followed Hyperlink" xfId="142" builtinId="9" hidden="1"/>
    <cellStyle name="Followed Hyperlink" xfId="143" builtinId="9" hidden="1"/>
    <cellStyle name="Followed Hyperlink" xfId="144" builtinId="9" hidden="1"/>
    <cellStyle name="Followed Hyperlink" xfId="145" builtinId="9" hidden="1"/>
    <cellStyle name="Followed Hyperlink" xfId="146" builtinId="9" hidden="1"/>
    <cellStyle name="Followed Hyperlink" xfId="147" builtinId="9" hidden="1"/>
    <cellStyle name="Followed Hyperlink" xfId="148" builtinId="9" hidden="1"/>
    <cellStyle name="Followed Hyperlink" xfId="149" builtinId="9" hidden="1"/>
    <cellStyle name="Followed Hyperlink" xfId="150" builtinId="9" hidden="1"/>
    <cellStyle name="Followed Hyperlink" xfId="151" builtinId="9" hidden="1"/>
    <cellStyle name="Followed Hyperlink" xfId="152" builtinId="9" hidden="1"/>
    <cellStyle name="Followed Hyperlink" xfId="153" builtinId="9" hidden="1"/>
    <cellStyle name="Followed Hyperlink" xfId="154" builtinId="9" hidden="1"/>
    <cellStyle name="Followed Hyperlink" xfId="155" builtinId="9" hidden="1"/>
    <cellStyle name="Followed Hyperlink" xfId="156" builtinId="9" hidden="1"/>
    <cellStyle name="Followed Hyperlink" xfId="157" builtinId="9" hidden="1"/>
    <cellStyle name="Followed Hyperlink" xfId="158" builtinId="9" hidden="1"/>
    <cellStyle name="Followed Hyperlink" xfId="159" builtinId="9" hidden="1"/>
    <cellStyle name="Followed Hyperlink" xfId="160" builtinId="9" hidden="1"/>
    <cellStyle name="Followed Hyperlink" xfId="161" builtinId="9" hidden="1"/>
    <cellStyle name="Followed Hyperlink" xfId="162" builtinId="9" hidden="1"/>
    <cellStyle name="Followed Hyperlink" xfId="163" builtinId="9" hidden="1"/>
    <cellStyle name="Followed Hyperlink" xfId="164" builtinId="9" hidden="1"/>
    <cellStyle name="Followed Hyperlink" xfId="165" builtinId="9" hidden="1"/>
    <cellStyle name="Followed Hyperlink" xfId="166" builtinId="9" hidden="1"/>
    <cellStyle name="Followed Hyperlink" xfId="167" builtinId="9" hidden="1"/>
    <cellStyle name="Followed Hyperlink" xfId="168" builtinId="9" hidden="1"/>
    <cellStyle name="Followed Hyperlink" xfId="169" builtinId="9" hidden="1"/>
    <cellStyle name="Followed Hyperlink" xfId="170" builtinId="9" hidden="1"/>
    <cellStyle name="Followed Hyperlink" xfId="171" builtinId="9" hidden="1"/>
    <cellStyle name="Followed Hyperlink" xfId="172" builtinId="9" hidden="1"/>
    <cellStyle name="Followed Hyperlink" xfId="173" builtinId="9" hidden="1"/>
    <cellStyle name="Followed Hyperlink" xfId="174" builtinId="9" hidden="1"/>
    <cellStyle name="Followed Hyperlink" xfId="175" builtinId="9" hidden="1"/>
    <cellStyle name="Followed Hyperlink" xfId="176" builtinId="9" hidden="1"/>
    <cellStyle name="Followed Hyperlink" xfId="177" builtinId="9" hidden="1"/>
    <cellStyle name="Followed Hyperlink" xfId="178" builtinId="9" hidden="1"/>
    <cellStyle name="Followed Hyperlink" xfId="179" builtinId="9" hidden="1"/>
    <cellStyle name="Followed Hyperlink" xfId="180" builtinId="9" hidden="1"/>
    <cellStyle name="Followed Hyperlink" xfId="181" builtinId="9" hidden="1"/>
    <cellStyle name="Followed Hyperlink" xfId="182" builtinId="9" hidden="1"/>
    <cellStyle name="Followed Hyperlink" xfId="183" builtinId="9" hidden="1"/>
    <cellStyle name="Followed Hyperlink" xfId="184" builtinId="9" hidden="1"/>
    <cellStyle name="Followed Hyperlink" xfId="185" builtinId="9" hidden="1"/>
    <cellStyle name="Followed Hyperlink" xfId="186" builtinId="9" hidden="1"/>
    <cellStyle name="Followed Hyperlink" xfId="187" builtinId="9" hidden="1"/>
    <cellStyle name="Followed Hyperlink" xfId="188" builtinId="9" hidden="1"/>
    <cellStyle name="Followed Hyperlink" xfId="189" builtinId="9" hidden="1"/>
    <cellStyle name="Followed Hyperlink" xfId="190" builtinId="9" hidden="1"/>
    <cellStyle name="Followed Hyperlink" xfId="191" builtinId="9" hidden="1"/>
    <cellStyle name="Followed Hyperlink" xfId="192" builtinId="9" hidden="1"/>
    <cellStyle name="Followed Hyperlink" xfId="193" builtinId="9" hidden="1"/>
    <cellStyle name="Followed Hyperlink" xfId="194" builtinId="9" hidden="1"/>
    <cellStyle name="Followed Hyperlink" xfId="195" builtinId="9" hidden="1"/>
    <cellStyle name="Followed Hyperlink" xfId="196" builtinId="9" hidden="1"/>
    <cellStyle name="Followed Hyperlink" xfId="197" builtinId="9" hidden="1"/>
    <cellStyle name="Followed Hyperlink" xfId="198" builtinId="9" hidden="1"/>
    <cellStyle name="Followed Hyperlink" xfId="199" builtinId="9" hidden="1"/>
    <cellStyle name="Heading 1" xfId="1" builtinId="16"/>
    <cellStyle name="Hyperlink" xfId="2" builtinId="8" hidden="1"/>
    <cellStyle name="Hyperlink" xfId="202" builtinId="8"/>
    <cellStyle name="Normal" xfId="0" builtinId="0"/>
    <cellStyle name="Normal 3" xfId="201" xr:uid="{00000000-0005-0000-0000-0000C9000000}"/>
    <cellStyle name="Percent" xfId="200" builtinId="5"/>
  </cellStyles>
  <dxfs count="5">
    <dxf>
      <font>
        <color rgb="FF9C0006"/>
      </font>
    </dxf>
    <dxf>
      <numFmt numFmtId="19" formatCode="m/d/yyyy"/>
    </dxf>
    <dxf>
      <numFmt numFmtId="19" formatCode="m/d/yyyy"/>
    </dxf>
    <dxf>
      <font>
        <b/>
        <color theme="1"/>
      </font>
      <border>
        <bottom style="thin">
          <color theme="4"/>
        </bottom>
        <vertical/>
        <horizontal/>
      </border>
    </dxf>
    <dxf>
      <font>
        <color theme="1"/>
      </font>
      <border>
        <left style="thin">
          <color theme="4"/>
        </left>
        <right style="thin">
          <color theme="4"/>
        </right>
        <top style="thin">
          <color theme="4"/>
        </top>
        <bottom style="thin">
          <color theme="4"/>
        </bottom>
        <vertical/>
        <horizontal/>
      </border>
    </dxf>
  </dxfs>
  <tableStyles count="1" defaultTableStyle="TableStyleMedium2" defaultPivotStyle="PivotStyleLight16">
    <tableStyle name="SlicerStyleDark1 2" pivot="0" table="0" count="10" xr9:uid="{00000000-0011-0000-FFFF-FFFF00000000}">
      <tableStyleElement type="wholeTable" dxfId="4"/>
      <tableStyleElement type="headerRow" dxfId="3"/>
    </tableStyle>
  </tableStyles>
  <colors>
    <mruColors>
      <color rgb="FFF0FFDD"/>
      <color rgb="FFDCF9A9"/>
      <color rgb="FF4472C4"/>
      <color rgb="FFA7E8FF"/>
      <color rgb="FF6DD9FF"/>
      <color rgb="FFFF5050"/>
      <color rgb="FFA6F020"/>
      <color rgb="FFC1EFFF"/>
      <color rgb="FFFF6699"/>
      <color rgb="FFB3F8FF"/>
    </mruColors>
  </color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4" tint="-0.249977111117893"/>
          </font>
          <fill>
            <patternFill patternType="solid">
              <fgColor theme="4" tint="0.59999389629810485"/>
              <bgColor theme="4" tint="0.59999389629810485"/>
            </patternFill>
          </fill>
          <border>
            <left style="thin">
              <color theme="4" tint="0.59999389629810485"/>
            </left>
            <right style="thin">
              <color theme="4" tint="0.59999389629810485"/>
            </right>
            <top style="thin">
              <color theme="4" tint="0.59999389629810485"/>
            </top>
            <bottom style="thin">
              <color theme="4" tint="0.59999389629810485"/>
            </bottom>
            <vertical/>
            <horizontal/>
          </border>
        </dxf>
        <dxf>
          <font>
            <color theme="0"/>
          </font>
          <fill>
            <patternFill patternType="solid">
              <fgColor theme="4"/>
              <bgColor theme="4"/>
            </patternFill>
          </fill>
          <border>
            <left style="thin">
              <color theme="4"/>
            </left>
            <right style="thin">
              <color theme="4"/>
            </right>
            <top style="thin">
              <color theme="4"/>
            </top>
            <bottom style="thin">
              <color theme="4"/>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x14:dxfs>
    </ext>
    <ext xmlns:x14="http://schemas.microsoft.com/office/spreadsheetml/2009/9/main" uri="{EB79DEF2-80B8-43e5-95BD-54CBDDF9020C}">
      <x14:slicerStyles defaultSlicerStyle="SlicerStyleLight1">
        <x14:slicerStyle name="SlicerStyleDark1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11/relationships/timelineCache" Target="timelineCaches/timelineCache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7/relationships/slicerCache" Target="slicerCaches/slicerCache3.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2.xml"/><Relationship Id="rId5" Type="http://schemas.openxmlformats.org/officeDocument/2006/relationships/worksheet" Target="worksheets/sheet5.xml"/><Relationship Id="rId15" Type="http://schemas.openxmlformats.org/officeDocument/2006/relationships/styles" Target="styles.xml"/><Relationship Id="rId10" Type="http://schemas.microsoft.com/office/2007/relationships/slicerCache" Target="slicerCaches/slicerCache1.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openxmlformats.org/officeDocument/2006/relationships/theme" Target="theme/theme1.xml"/></Relationships>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4.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8258776604889502E-2"/>
          <c:y val="0.168747777495555"/>
          <c:w val="0.80351473307215904"/>
          <c:h val="0.70013419693505996"/>
        </c:manualLayout>
      </c:layout>
      <c:doughnutChart>
        <c:varyColors val="1"/>
        <c:ser>
          <c:idx val="1"/>
          <c:order val="0"/>
          <c:spPr>
            <a:solidFill>
              <a:srgbClr val="DCF9A9"/>
            </a:solidFill>
            <a:ln>
              <a:noFill/>
            </a:ln>
            <a:effectLst>
              <a:outerShdw blurRad="57150" dist="19050" dir="5400000" algn="ctr" rotWithShape="0">
                <a:srgbClr val="000000">
                  <a:alpha val="63000"/>
                </a:srgbClr>
              </a:outerShdw>
            </a:effectLst>
          </c:spPr>
          <c:dPt>
            <c:idx val="0"/>
            <c:bubble3D val="0"/>
            <c:spPr>
              <a:solidFill>
                <a:srgbClr val="92D050"/>
              </a:soli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BF12-4C67-A126-C801D0FD01F5}"/>
              </c:ext>
            </c:extLst>
          </c:dPt>
          <c:dPt>
            <c:idx val="1"/>
            <c:bubble3D val="0"/>
            <c:extLst>
              <c:ext xmlns:c16="http://schemas.microsoft.com/office/drawing/2014/chart" uri="{C3380CC4-5D6E-409C-BE32-E72D297353CC}">
                <c16:uniqueId val="{00000003-1B71-43AA-85FE-AAD1180EC1F7}"/>
              </c:ext>
            </c:extLst>
          </c:dPt>
          <c:val>
            <c:numRef>
              <c:f>GanttDashboardTemplate!$AX$2:$AY$2</c:f>
              <c:numCache>
                <c:formatCode>0%</c:formatCode>
                <c:ptCount val="2"/>
                <c:pt idx="0">
                  <c:v>0.5</c:v>
                </c:pt>
                <c:pt idx="1">
                  <c:v>0.5</c:v>
                </c:pt>
              </c:numCache>
            </c:numRef>
          </c:val>
          <c:extLst>
            <c:ext xmlns:c16="http://schemas.microsoft.com/office/drawing/2014/chart" uri="{C3380CC4-5D6E-409C-BE32-E72D297353CC}">
              <c16:uniqueId val="{00000001-C13B-4724-8E0B-A1EA98DC8531}"/>
            </c:ext>
          </c:extLst>
        </c:ser>
        <c:dLbls>
          <c:showLegendKey val="0"/>
          <c:showVal val="0"/>
          <c:showCatName val="0"/>
          <c:showSerName val="0"/>
          <c:showPercent val="0"/>
          <c:showBubbleSize val="0"/>
          <c:showLeaderLines val="0"/>
        </c:dLbls>
        <c:firstSliceAng val="0"/>
        <c:holeSize val="50"/>
      </c:doughnutChart>
    </c:plotArea>
    <c:plotVisOnly val="0"/>
    <c:dispBlanksAs val="zero"/>
    <c:showDLblsOverMax val="0"/>
  </c:chart>
  <c:spPr>
    <a:noFill/>
    <a:ln>
      <a:noFill/>
    </a:ln>
  </c:spPr>
  <c:printSettings>
    <c:headerFooter/>
    <c:pageMargins b="0.75000000000001599" l="0.70000000000000095" r="0.70000000000000095" t="0.75000000000001599"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[Gantt_Excel_Pro_Hourly_Free1.xlsm]PivotSheet!PT1</c:name>
    <c:fmtId val="2"/>
  </c:pivotSource>
  <c:chart>
    <c:title>
      <c:tx>
        <c:rich>
          <a:bodyPr rot="0" spcFirstLastPara="1" vertOverflow="ellipsis" vert="horz" wrap="square" anchor="ctr" anchorCtr="1"/>
          <a:lstStyle/>
          <a:p>
            <a:pPr>
              <a:defRPr sz="1400" b="0" i="0" u="none" strike="noStrike" kern="1200" spc="0" baseline="0">
                <a:solidFill>
                  <a:schemeClr val="lt1"/>
                </a:solidFill>
                <a:latin typeface="+mn-lt"/>
                <a:ea typeface="+mn-ea"/>
                <a:cs typeface="+mn-cs"/>
              </a:defRPr>
            </a:pPr>
            <a:r>
              <a:rPr lang="en-US" sz="1000" b="0">
                <a:solidFill>
                  <a:schemeClr val="lt1"/>
                </a:solidFill>
                <a:latin typeface="+mn-lt"/>
                <a:ea typeface="+mn-ea"/>
                <a:cs typeface="+mn-cs"/>
              </a:rPr>
              <a:t>TASK STATUS</a:t>
            </a:r>
            <a:endParaRPr lang="en-US" sz="1000" b="0">
              <a:solidFill>
                <a:sysClr val="windowText" lastClr="000000"/>
              </a:solidFill>
              <a:latin typeface="Arial" panose="020B0604020202020204" pitchFamily="34" charset="0"/>
              <a:cs typeface="Arial" panose="020B0604020202020204" pitchFamily="34" charset="0"/>
            </a:endParaRPr>
          </a:p>
        </c:rich>
      </c:tx>
      <c:overlay val="1"/>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txPr>
        <a:bodyPr rot="0" spcFirstLastPara="1" vertOverflow="ellipsis" vert="horz" wrap="square" anchor="ctr" anchorCtr="1"/>
        <a:lstStyle/>
        <a:p>
          <a:pPr>
            <a:defRPr sz="1400" b="0" i="0" u="none" strike="noStrike" kern="1200" spc="0" baseline="0">
              <a:solidFill>
                <a:schemeClr val="lt1"/>
              </a:solidFill>
              <a:latin typeface="+mn-lt"/>
              <a:ea typeface="+mn-ea"/>
              <a:cs typeface="+mn-cs"/>
            </a:defRPr>
          </a:pPr>
          <a:endParaRPr lang="vi-VN"/>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vi-VN"/>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vi-VN"/>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vi-VN"/>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vi-VN"/>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vi-VN"/>
            </a:p>
          </c:txPr>
          <c:showLegendKey val="0"/>
          <c:showVal val="1"/>
          <c:showCatName val="1"/>
          <c:showSerName val="0"/>
          <c:showPercent val="1"/>
          <c:showBubbleSize val="0"/>
          <c:extLst>
            <c:ext xmlns:c15="http://schemas.microsoft.com/office/drawing/2012/chart" uri="{CE6537A1-D6FC-4f65-9D91-7224C49458BB}"/>
          </c:extLst>
        </c:dLbl>
      </c:pivotFmt>
      <c:pivotFmt>
        <c:idx val="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vi-VN"/>
            </a:p>
          </c:txPr>
          <c:showLegendKey val="0"/>
          <c:showVal val="1"/>
          <c:showCatName val="1"/>
          <c:showSerName val="0"/>
          <c:showPercent val="1"/>
          <c:showBubbleSize val="0"/>
          <c:extLst>
            <c:ext xmlns:c15="http://schemas.microsoft.com/office/drawing/2012/chart" uri="{CE6537A1-D6FC-4f65-9D91-7224C49458BB}"/>
          </c:extLst>
        </c:dLbl>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vi-VN"/>
            </a:p>
          </c:txPr>
          <c:dLblPos val="bestFit"/>
          <c:showLegendKey val="0"/>
          <c:showVal val="1"/>
          <c:showCatName val="1"/>
          <c:showSerName val="0"/>
          <c:showPercent val="1"/>
          <c:showBubbleSize val="0"/>
          <c:separator>
</c:separator>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11"/>
        <c:spPr>
          <a:solidFill>
            <a:srgbClr val="DCF9A9"/>
          </a:solidFill>
          <a:ln w="19050">
            <a:solidFill>
              <a:schemeClr val="lt1"/>
            </a:solidFill>
          </a:ln>
          <a:effectLst/>
        </c:spPr>
      </c:pivotFmt>
      <c:pivotFmt>
        <c:idx val="12"/>
        <c:spPr>
          <a:solidFill>
            <a:srgbClr val="A7E8FF"/>
          </a:solidFill>
          <a:ln w="19050">
            <a:solidFill>
              <a:schemeClr val="lt1"/>
            </a:solidFill>
          </a:ln>
          <a:effectLst/>
        </c:spPr>
      </c:pivotFmt>
      <c:pivotFmt>
        <c:idx val="13"/>
        <c:spPr>
          <a:solidFill>
            <a:srgbClr val="FF5050"/>
          </a:solidFill>
          <a:ln w="19050">
            <a:solidFill>
              <a:schemeClr val="lt1"/>
            </a:solidFill>
          </a:ln>
          <a:effectLst/>
        </c:spPr>
      </c:pivotFmt>
      <c:pivotFmt>
        <c:idx val="14"/>
        <c:spPr>
          <a:solidFill>
            <a:schemeClr val="accent4"/>
          </a:solidFill>
          <a:ln w="19050">
            <a:solidFill>
              <a:schemeClr val="lt1"/>
            </a:solidFill>
          </a:ln>
          <a:effectLst/>
        </c:spPr>
      </c:pivotFmt>
      <c:pivotFmt>
        <c:idx val="15"/>
        <c:spPr>
          <a:solidFill>
            <a:schemeClr val="accent1"/>
          </a:solidFill>
          <a:ln w="19050">
            <a:solidFill>
              <a:schemeClr val="lt1"/>
            </a:solidFill>
          </a:ln>
          <a:effectLst/>
        </c:spPr>
      </c:pivotFmt>
    </c:pivotFmts>
    <c:plotArea>
      <c:layout/>
      <c:pieChart>
        <c:varyColors val="1"/>
        <c:ser>
          <c:idx val="0"/>
          <c:order val="0"/>
          <c:tx>
            <c:strRef>
              <c:f>PivotSheet!$B$4</c:f>
              <c:strCache>
                <c:ptCount val="1"/>
                <c:pt idx="0">
                  <c:v>Total</c:v>
                </c:pt>
              </c:strCache>
            </c:strRef>
          </c:tx>
          <c:dPt>
            <c:idx val="0"/>
            <c:bubble3D val="0"/>
            <c:spPr>
              <a:solidFill>
                <a:srgbClr val="DCF9A9"/>
              </a:solidFill>
              <a:ln w="19050">
                <a:solidFill>
                  <a:schemeClr val="lt1"/>
                </a:solidFill>
              </a:ln>
              <a:effectLst/>
            </c:spPr>
            <c:extLst>
              <c:ext xmlns:c16="http://schemas.microsoft.com/office/drawing/2014/chart" uri="{C3380CC4-5D6E-409C-BE32-E72D297353CC}">
                <c16:uniqueId val="{00000001-E426-4258-8CA7-71D8556BB275}"/>
              </c:ext>
            </c:extLst>
          </c:dPt>
          <c:dPt>
            <c:idx val="1"/>
            <c:bubble3D val="0"/>
            <c:spPr>
              <a:solidFill>
                <a:srgbClr val="A7E8FF"/>
              </a:solidFill>
              <a:ln w="19050">
                <a:solidFill>
                  <a:schemeClr val="lt1"/>
                </a:solidFill>
              </a:ln>
              <a:effectLst/>
            </c:spPr>
            <c:extLst>
              <c:ext xmlns:c16="http://schemas.microsoft.com/office/drawing/2014/chart" uri="{C3380CC4-5D6E-409C-BE32-E72D297353CC}">
                <c16:uniqueId val="{00000003-E426-4258-8CA7-71D8556BB275}"/>
              </c:ext>
            </c:extLst>
          </c:dPt>
          <c:dPt>
            <c:idx val="2"/>
            <c:bubble3D val="0"/>
            <c:spPr>
              <a:solidFill>
                <a:srgbClr val="FF5050"/>
              </a:solidFill>
              <a:ln w="19050">
                <a:solidFill>
                  <a:schemeClr val="lt1"/>
                </a:solidFill>
              </a:ln>
              <a:effectLst/>
            </c:spPr>
            <c:extLst>
              <c:ext xmlns:c16="http://schemas.microsoft.com/office/drawing/2014/chart" uri="{C3380CC4-5D6E-409C-BE32-E72D297353CC}">
                <c16:uniqueId val="{00000005-E426-4258-8CA7-71D8556BB275}"/>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E426-4258-8CA7-71D8556BB275}"/>
              </c:ext>
            </c:extLst>
          </c:dPt>
          <c:dLbls>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vi-VN"/>
              </a:p>
            </c:txPr>
            <c:dLblPos val="bestFit"/>
            <c:showLegendKey val="0"/>
            <c:showVal val="1"/>
            <c:showCatName val="1"/>
            <c:showSerName val="0"/>
            <c:showPercent val="1"/>
            <c:showBubbleSize val="0"/>
            <c:separator>
</c:separator>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spPr xmlns:c15="http://schemas.microsoft.com/office/drawing/2012/chart">
                  <a:prstGeom prst="rect">
                    <a:avLst/>
                  </a:prstGeom>
                  <a:noFill/>
                  <a:ln>
                    <a:noFill/>
                  </a:ln>
                </c15:spPr>
              </c:ext>
            </c:extLst>
          </c:dLbls>
          <c:cat>
            <c:strRef>
              <c:f>PivotSheet!$A$5:$A$8</c:f>
              <c:strCache>
                <c:ptCount val="4"/>
                <c:pt idx="0">
                  <c:v>Completed</c:v>
                </c:pt>
                <c:pt idx="1">
                  <c:v>InProgress</c:v>
                </c:pt>
                <c:pt idx="2">
                  <c:v>Overdue</c:v>
                </c:pt>
                <c:pt idx="3">
                  <c:v>Planned</c:v>
                </c:pt>
              </c:strCache>
            </c:strRef>
          </c:cat>
          <c:val>
            <c:numRef>
              <c:f>PivotSheet!$B$5:$B$8</c:f>
              <c:numCache>
                <c:formatCode>General</c:formatCode>
                <c:ptCount val="4"/>
                <c:pt idx="0">
                  <c:v>1</c:v>
                </c:pt>
                <c:pt idx="1">
                  <c:v>1</c:v>
                </c:pt>
                <c:pt idx="2">
                  <c:v>1</c:v>
                </c:pt>
                <c:pt idx="3">
                  <c:v>1</c:v>
                </c:pt>
              </c:numCache>
            </c:numRef>
          </c:val>
          <c:extLst>
            <c:ext xmlns:c16="http://schemas.microsoft.com/office/drawing/2014/chart" uri="{C3380CC4-5D6E-409C-BE32-E72D297353CC}">
              <c16:uniqueId val="{00000008-4D69-45B8-BE23-1083FC1339A9}"/>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vi-VN"/>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[Gantt_Excel_Pro_Hourly_Free1.xlsm]PivotSheet!PT2</c:name>
    <c:fmtId val="10"/>
  </c:pivotSource>
  <c:chart>
    <c:title>
      <c:tx>
        <c:rich>
          <a:bodyPr rot="0" spcFirstLastPara="1" vertOverflow="ellipsis" vert="horz" wrap="square" anchor="ctr" anchorCtr="1"/>
          <a:lstStyle/>
          <a:p>
            <a:pPr>
              <a:defRPr sz="1400" b="0" i="0" u="none" strike="noStrike" kern="1200" spc="0" baseline="0">
                <a:solidFill>
                  <a:schemeClr val="lt1"/>
                </a:solidFill>
                <a:latin typeface="+mn-lt"/>
                <a:ea typeface="+mn-ea"/>
                <a:cs typeface="+mn-cs"/>
              </a:defRPr>
            </a:pPr>
            <a:r>
              <a:rPr lang="en-US" sz="1000">
                <a:solidFill>
                  <a:schemeClr val="lt1"/>
                </a:solidFill>
                <a:latin typeface="+mn-lt"/>
                <a:ea typeface="+mn-ea"/>
                <a:cs typeface="+mn-cs"/>
              </a:rPr>
              <a:t>TASK</a:t>
            </a:r>
            <a:r>
              <a:rPr lang="en-US" sz="1000" baseline="0">
                <a:solidFill>
                  <a:schemeClr val="lt1"/>
                </a:solidFill>
                <a:latin typeface="+mn-lt"/>
                <a:ea typeface="+mn-ea"/>
                <a:cs typeface="+mn-cs"/>
              </a:rPr>
              <a:t> PRIORITY</a:t>
            </a:r>
            <a:endParaRPr lang="en-US" sz="1000">
              <a:solidFill>
                <a:schemeClr val="bg1">
                  <a:lumMod val="50000"/>
                </a:schemeClr>
              </a:solidFill>
              <a:latin typeface="Arial" panose="020B0604020202020204" pitchFamily="34" charset="0"/>
              <a:cs typeface="Arial" panose="020B0604020202020204" pitchFamily="34" charset="0"/>
            </a:endParaRPr>
          </a:p>
        </c:rich>
      </c:tx>
      <c:overlay val="1"/>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txPr>
        <a:bodyPr rot="0" spcFirstLastPara="1" vertOverflow="ellipsis" vert="horz" wrap="square" anchor="ctr" anchorCtr="1"/>
        <a:lstStyle/>
        <a:p>
          <a:pPr>
            <a:defRPr sz="1400" b="0" i="0" u="none" strike="noStrike" kern="1200" spc="0" baseline="0">
              <a:solidFill>
                <a:schemeClr val="lt1"/>
              </a:solidFill>
              <a:latin typeface="+mn-lt"/>
              <a:ea typeface="+mn-ea"/>
              <a:cs typeface="+mn-cs"/>
            </a:defRPr>
          </a:pPr>
          <a:endParaRPr lang="vi-VN"/>
        </a:p>
      </c:txPr>
    </c:title>
    <c:autoTitleDeleted val="0"/>
    <c:pivotFmts>
      <c:pivotFmt>
        <c:idx val="0"/>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vi-VN"/>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borderCallout1">
                  <a:avLst/>
                </a:prstGeom>
                <a:noFill/>
                <a:ln>
                  <a:noFill/>
                </a:ln>
              </c15:spPr>
            </c:ext>
          </c:extLst>
        </c:dLbl>
      </c:pivotFmt>
      <c:pivotFmt>
        <c:idx val="1"/>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vi-VN"/>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borderCallout1">
                  <a:avLst/>
                </a:prstGeom>
                <a:noFill/>
                <a:ln>
                  <a:noFill/>
                </a:ln>
              </c15:spPr>
            </c:ext>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vi-VN"/>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6"/>
        <c:spPr>
          <a:solidFill>
            <a:srgbClr val="FF5050"/>
          </a:solidFill>
          <a:ln w="19050">
            <a:solidFill>
              <a:schemeClr val="lt1"/>
            </a:solidFill>
          </a:ln>
          <a:effectLst/>
        </c:spPr>
      </c:pivotFmt>
      <c:pivotFmt>
        <c:idx val="7"/>
        <c:spPr>
          <a:solidFill>
            <a:srgbClr val="92D050"/>
          </a:solidFill>
          <a:ln w="19050">
            <a:solidFill>
              <a:schemeClr val="lt1"/>
            </a:solidFill>
          </a:ln>
          <a:effectLst/>
        </c:spPr>
      </c:pivotFmt>
      <c:pivotFmt>
        <c:idx val="8"/>
        <c:spPr>
          <a:solidFill>
            <a:srgbClr val="FFC000"/>
          </a:solidFill>
          <a:ln w="19050">
            <a:solidFill>
              <a:schemeClr val="lt1"/>
            </a:solidFill>
          </a:ln>
          <a:effectLst/>
        </c:spPr>
      </c:pivotFmt>
      <c:pivotFmt>
        <c:idx val="9"/>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vi-VN"/>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10"/>
        <c:spPr>
          <a:solidFill>
            <a:srgbClr val="FF5050"/>
          </a:solidFill>
          <a:ln w="19050">
            <a:solidFill>
              <a:schemeClr val="lt1"/>
            </a:solidFill>
          </a:ln>
          <a:effectLst/>
        </c:spPr>
      </c:pivotFmt>
      <c:pivotFmt>
        <c:idx val="11"/>
        <c:spPr>
          <a:solidFill>
            <a:srgbClr val="92D050"/>
          </a:solidFill>
          <a:ln w="19050">
            <a:solidFill>
              <a:schemeClr val="lt1"/>
            </a:solidFill>
          </a:ln>
          <a:effectLst/>
        </c:spPr>
      </c:pivotFmt>
      <c:pivotFmt>
        <c:idx val="12"/>
        <c:spPr>
          <a:solidFill>
            <a:srgbClr val="FFC000"/>
          </a:solidFill>
          <a:ln w="19050">
            <a:solidFill>
              <a:schemeClr val="lt1"/>
            </a:solidFill>
          </a:ln>
          <a:effectLst/>
        </c:spPr>
      </c:pivotFmt>
      <c:pivotFmt>
        <c:idx val="13"/>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vi-VN"/>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14"/>
        <c:spPr>
          <a:solidFill>
            <a:srgbClr val="FF5050"/>
          </a:solidFill>
          <a:ln w="19050">
            <a:solidFill>
              <a:schemeClr val="lt1"/>
            </a:solidFill>
          </a:ln>
          <a:effectLst/>
        </c:spPr>
      </c:pivotFmt>
      <c:pivotFmt>
        <c:idx val="15"/>
        <c:spPr>
          <a:solidFill>
            <a:srgbClr val="92D050"/>
          </a:solidFill>
          <a:ln w="19050">
            <a:solidFill>
              <a:schemeClr val="lt1"/>
            </a:solidFill>
          </a:ln>
          <a:effectLst/>
        </c:spPr>
      </c:pivotFmt>
      <c:pivotFmt>
        <c:idx val="16"/>
        <c:spPr>
          <a:solidFill>
            <a:srgbClr val="FFC000"/>
          </a:solidFill>
          <a:ln w="19050">
            <a:solidFill>
              <a:schemeClr val="lt1"/>
            </a:solidFill>
          </a:ln>
          <a:effectLst/>
        </c:spPr>
      </c:pivotFmt>
      <c:pivotFmt>
        <c:idx val="17"/>
        <c:spPr>
          <a:solidFill>
            <a:schemeClr val="accent1"/>
          </a:solidFill>
          <a:ln w="19050">
            <a:solidFill>
              <a:schemeClr val="lt1"/>
            </a:solidFill>
          </a:ln>
          <a:effectLst/>
        </c:spPr>
      </c:pivotFmt>
    </c:pivotFmts>
    <c:plotArea>
      <c:layout/>
      <c:doughnutChart>
        <c:varyColors val="1"/>
        <c:ser>
          <c:idx val="0"/>
          <c:order val="0"/>
          <c:tx>
            <c:strRef>
              <c:f>PivotSheet!$L$4</c:f>
              <c:strCache>
                <c:ptCount val="1"/>
                <c:pt idx="0">
                  <c:v>Total</c:v>
                </c:pt>
              </c:strCache>
            </c:strRef>
          </c:tx>
          <c:dPt>
            <c:idx val="0"/>
            <c:bubble3D val="0"/>
            <c:spPr>
              <a:solidFill>
                <a:srgbClr val="FF5050"/>
              </a:solidFill>
              <a:ln w="19050">
                <a:solidFill>
                  <a:schemeClr val="lt1"/>
                </a:solidFill>
              </a:ln>
              <a:effectLst/>
            </c:spPr>
            <c:extLst>
              <c:ext xmlns:c16="http://schemas.microsoft.com/office/drawing/2014/chart" uri="{C3380CC4-5D6E-409C-BE32-E72D297353CC}">
                <c16:uniqueId val="{00000001-E6E0-4E83-8510-B76807A75548}"/>
              </c:ext>
            </c:extLst>
          </c:dPt>
          <c:dPt>
            <c:idx val="1"/>
            <c:bubble3D val="0"/>
            <c:spPr>
              <a:solidFill>
                <a:srgbClr val="92D050"/>
              </a:solidFill>
              <a:ln w="19050">
                <a:solidFill>
                  <a:schemeClr val="lt1"/>
                </a:solidFill>
              </a:ln>
              <a:effectLst/>
            </c:spPr>
            <c:extLst>
              <c:ext xmlns:c16="http://schemas.microsoft.com/office/drawing/2014/chart" uri="{C3380CC4-5D6E-409C-BE32-E72D297353CC}">
                <c16:uniqueId val="{00000003-E6E0-4E83-8510-B76807A75548}"/>
              </c:ext>
            </c:extLst>
          </c:dPt>
          <c:dPt>
            <c:idx val="2"/>
            <c:bubble3D val="0"/>
            <c:spPr>
              <a:solidFill>
                <a:srgbClr val="FFC000"/>
              </a:solidFill>
              <a:ln w="19050">
                <a:solidFill>
                  <a:schemeClr val="lt1"/>
                </a:solidFill>
              </a:ln>
              <a:effectLst/>
            </c:spPr>
            <c:extLst>
              <c:ext xmlns:c16="http://schemas.microsoft.com/office/drawing/2014/chart" uri="{C3380CC4-5D6E-409C-BE32-E72D297353CC}">
                <c16:uniqueId val="{00000005-E6E0-4E83-8510-B76807A75548}"/>
              </c:ext>
            </c:extLst>
          </c:dPt>
          <c:dLbls>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vi-VN"/>
              </a:p>
            </c:txPr>
            <c:showLegendKey val="0"/>
            <c:showVal val="1"/>
            <c:showCatName val="1"/>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spPr xmlns:c15="http://schemas.microsoft.com/office/drawing/2012/chart">
                  <a:prstGeom prst="rect">
                    <a:avLst/>
                  </a:prstGeom>
                  <a:noFill/>
                  <a:ln>
                    <a:noFill/>
                  </a:ln>
                </c15:spPr>
              </c:ext>
            </c:extLst>
          </c:dLbls>
          <c:cat>
            <c:strRef>
              <c:f>PivotSheet!$K$5:$K$7</c:f>
              <c:strCache>
                <c:ptCount val="3"/>
                <c:pt idx="0">
                  <c:v>HIGH</c:v>
                </c:pt>
                <c:pt idx="1">
                  <c:v>LOW</c:v>
                </c:pt>
                <c:pt idx="2">
                  <c:v>NORMAL</c:v>
                </c:pt>
              </c:strCache>
            </c:strRef>
          </c:cat>
          <c:val>
            <c:numRef>
              <c:f>PivotSheet!$L$5:$L$7</c:f>
              <c:numCache>
                <c:formatCode>General</c:formatCode>
                <c:ptCount val="3"/>
                <c:pt idx="0">
                  <c:v>1</c:v>
                </c:pt>
                <c:pt idx="1">
                  <c:v>1</c:v>
                </c:pt>
                <c:pt idx="2">
                  <c:v>2</c:v>
                </c:pt>
              </c:numCache>
            </c:numRef>
          </c:val>
          <c:extLst>
            <c:ext xmlns:c16="http://schemas.microsoft.com/office/drawing/2014/chart" uri="{C3380CC4-5D6E-409C-BE32-E72D297353CC}">
              <c16:uniqueId val="{00000004-599A-4CE6-B5C8-CD5626369C67}"/>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vi-VN"/>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[Gantt_Excel_Pro_Hourly_Free1.xlsm]PivotSheet!PT3</c:name>
    <c:fmtId val="16"/>
  </c:pivotSource>
  <c:chart>
    <c:title>
      <c:tx>
        <c:rich>
          <a:bodyPr rot="0" spcFirstLastPara="1" vertOverflow="ellipsis" vert="horz" wrap="square" anchor="ctr" anchorCtr="1"/>
          <a:lstStyle/>
          <a:p>
            <a:pPr>
              <a:defRPr sz="1400" b="0" i="0" u="none" strike="noStrike" kern="1200" spc="0" baseline="0">
                <a:solidFill>
                  <a:schemeClr val="lt1"/>
                </a:solidFill>
                <a:latin typeface="+mn-lt"/>
                <a:ea typeface="+mn-ea"/>
                <a:cs typeface="+mn-cs"/>
              </a:defRPr>
            </a:pPr>
            <a:r>
              <a:rPr lang="en-US" sz="1000">
                <a:solidFill>
                  <a:schemeClr val="lt1"/>
                </a:solidFill>
                <a:latin typeface="+mn-lt"/>
                <a:ea typeface="+mn-ea"/>
                <a:cs typeface="+mn-cs"/>
              </a:rPr>
              <a:t>TASKS -</a:t>
            </a:r>
            <a:r>
              <a:rPr lang="en-US" sz="1000" baseline="0">
                <a:solidFill>
                  <a:schemeClr val="lt1"/>
                </a:solidFill>
                <a:latin typeface="+mn-lt"/>
                <a:ea typeface="+mn-ea"/>
                <a:cs typeface="+mn-cs"/>
              </a:rPr>
              <a:t> COSTS</a:t>
            </a:r>
            <a:endParaRPr lang="en-US" sz="1000">
              <a:solidFill>
                <a:schemeClr val="bg1">
                  <a:lumMod val="50000"/>
                </a:schemeClr>
              </a:solidFill>
              <a:latin typeface="Arial" panose="020B0604020202020204" pitchFamily="34" charset="0"/>
              <a:cs typeface="Arial" panose="020B0604020202020204" pitchFamily="34" charset="0"/>
            </a:endParaRPr>
          </a:p>
        </c:rich>
      </c:tx>
      <c:overlay val="1"/>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txPr>
        <a:bodyPr rot="0" spcFirstLastPara="1" vertOverflow="ellipsis" vert="horz" wrap="square" anchor="ctr" anchorCtr="1"/>
        <a:lstStyle/>
        <a:p>
          <a:pPr>
            <a:defRPr sz="1400" b="0" i="0" u="none" strike="noStrike" kern="1200" spc="0" baseline="0">
              <a:solidFill>
                <a:schemeClr val="lt1"/>
              </a:solidFill>
              <a:latin typeface="+mn-lt"/>
              <a:ea typeface="+mn-ea"/>
              <a:cs typeface="+mn-cs"/>
            </a:defRPr>
          </a:pPr>
          <a:endParaRPr lang="vi-VN"/>
        </a:p>
      </c:txPr>
    </c:title>
    <c:autoTitleDeleted val="0"/>
    <c:pivotFmts>
      <c:pivotFmt>
        <c:idx val="0"/>
        <c:dLbl>
          <c:idx val="0"/>
          <c:showLegendKey val="0"/>
          <c:showVal val="1"/>
          <c:showCatName val="1"/>
          <c:showSerName val="0"/>
          <c:showPercent val="0"/>
          <c:showBubbleSize val="0"/>
          <c:extLst>
            <c:ext xmlns:c15="http://schemas.microsoft.com/office/drawing/2012/chart" uri="{CE6537A1-D6FC-4f65-9D91-7224C49458BB}"/>
          </c:extLst>
        </c:dLbl>
      </c:pivotFmt>
      <c:pivotFmt>
        <c:idx val="1"/>
        <c:dLbl>
          <c:idx val="0"/>
          <c:showLegendKey val="0"/>
          <c:showVal val="1"/>
          <c:showCatName val="1"/>
          <c:showSerName val="0"/>
          <c:showPercent val="0"/>
          <c:showBubbleSize val="0"/>
          <c:extLst>
            <c:ext xmlns:c15="http://schemas.microsoft.com/office/drawing/2012/chart" uri="{CE6537A1-D6FC-4f65-9D91-7224C49458BB}"/>
          </c:extLst>
        </c:dLbl>
      </c:pivotFmt>
      <c:pivotFmt>
        <c:idx val="2"/>
        <c:dLbl>
          <c:idx val="0"/>
          <c:showLegendKey val="0"/>
          <c:showVal val="1"/>
          <c:showCatName val="0"/>
          <c:showSerName val="0"/>
          <c:showPercent val="0"/>
          <c:showBubbleSize val="0"/>
          <c:extLst>
            <c:ext xmlns:c15="http://schemas.microsoft.com/office/drawing/2012/chart" uri="{CE6537A1-D6FC-4f65-9D91-7224C49458BB}"/>
          </c:extLst>
        </c:dLbl>
      </c:pivotFmt>
      <c:pivotFmt>
        <c:idx val="3"/>
        <c:dLbl>
          <c:idx val="0"/>
          <c:showLegendKey val="0"/>
          <c:showVal val="1"/>
          <c:showCatName val="1"/>
          <c:showSerName val="0"/>
          <c:showPercent val="0"/>
          <c:showBubbleSize val="0"/>
          <c:extLst>
            <c:ext xmlns:c15="http://schemas.microsoft.com/office/drawing/2012/chart" uri="{CE6537A1-D6FC-4f65-9D91-7224C49458BB}"/>
          </c:extLst>
        </c:dLbl>
      </c:pivotFmt>
      <c:pivotFmt>
        <c:idx val="4"/>
        <c:spPr>
          <a:solidFill>
            <a:schemeClr val="accent4"/>
          </a:solidFill>
          <a:ln>
            <a:noFill/>
          </a:ln>
          <a:effectLst/>
          <a:scene3d>
            <a:camera prst="orthographicFront"/>
            <a:lightRig rig="threePt" dir="t"/>
          </a:scene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bg1"/>
                  </a:solidFill>
                  <a:latin typeface="+mn-lt"/>
                  <a:ea typeface="+mn-ea"/>
                  <a:cs typeface="+mn-cs"/>
                </a:defRPr>
              </a:pPr>
              <a:endParaRPr lang="vi-VN"/>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00B0F0"/>
          </a:solidFill>
          <a:ln>
            <a:noFill/>
          </a:ln>
          <a:effectLst/>
          <a:scene3d>
            <a:camera prst="orthographicFront"/>
            <a:lightRig rig="threePt" dir="t"/>
          </a:scene3d>
        </c:spPr>
      </c:pivotFmt>
      <c:pivotFmt>
        <c:idx val="6"/>
        <c:spPr>
          <a:solidFill>
            <a:schemeClr val="accent4"/>
          </a:solidFill>
          <a:ln>
            <a:noFill/>
          </a:ln>
          <a:effectLst/>
          <a:scene3d>
            <a:camera prst="orthographicFront"/>
            <a:lightRig rig="threePt" dir="t"/>
          </a:scene3d>
        </c:spPr>
      </c:pivotFmt>
      <c:pivotFmt>
        <c:idx val="7"/>
        <c:spPr>
          <a:solidFill>
            <a:schemeClr val="bg1">
              <a:lumMod val="50000"/>
            </a:schemeClr>
          </a:solidFill>
          <a:ln>
            <a:noFill/>
          </a:ln>
          <a:effectLst/>
          <a:scene3d>
            <a:camera prst="orthographicFront"/>
            <a:lightRig rig="threePt" dir="t"/>
          </a:scene3d>
        </c:spPr>
      </c:pivotFmt>
    </c:pivotFmts>
    <c:plotArea>
      <c:layout/>
      <c:barChart>
        <c:barDir val="bar"/>
        <c:grouping val="clustered"/>
        <c:varyColors val="0"/>
        <c:ser>
          <c:idx val="0"/>
          <c:order val="0"/>
          <c:tx>
            <c:strRef>
              <c:f>PivotSheet!$V$4</c:f>
              <c:strCache>
                <c:ptCount val="1"/>
                <c:pt idx="0">
                  <c:v>Total</c:v>
                </c:pt>
              </c:strCache>
            </c:strRef>
          </c:tx>
          <c:spPr>
            <a:solidFill>
              <a:schemeClr val="accent4"/>
            </a:solidFill>
            <a:ln>
              <a:noFill/>
            </a:ln>
            <a:effectLst/>
            <a:scene3d>
              <a:camera prst="orthographicFront"/>
              <a:lightRig rig="threePt" dir="t"/>
            </a:scene3d>
          </c:spPr>
          <c:invertIfNegative val="0"/>
          <c:dPt>
            <c:idx val="0"/>
            <c:invertIfNegative val="0"/>
            <c:bubble3D val="0"/>
            <c:spPr>
              <a:solidFill>
                <a:schemeClr val="bg1">
                  <a:lumMod val="50000"/>
                </a:schemeClr>
              </a:solidFill>
              <a:ln>
                <a:noFill/>
              </a:ln>
              <a:effectLst/>
              <a:scene3d>
                <a:camera prst="orthographicFront"/>
                <a:lightRig rig="threePt" dir="t"/>
              </a:scene3d>
            </c:spPr>
            <c:extLst>
              <c:ext xmlns:c16="http://schemas.microsoft.com/office/drawing/2014/chart" uri="{C3380CC4-5D6E-409C-BE32-E72D297353CC}">
                <c16:uniqueId val="{00000004-1D78-4AC3-AC30-7384DFA0F2CF}"/>
              </c:ext>
            </c:extLst>
          </c:dPt>
          <c:dPt>
            <c:idx val="1"/>
            <c:invertIfNegative val="0"/>
            <c:bubble3D val="0"/>
            <c:spPr>
              <a:solidFill>
                <a:srgbClr val="00B0F0"/>
              </a:solidFill>
              <a:ln>
                <a:noFill/>
              </a:ln>
              <a:effectLst/>
              <a:scene3d>
                <a:camera prst="orthographicFront"/>
                <a:lightRig rig="threePt" dir="t"/>
              </a:scene3d>
            </c:spPr>
            <c:extLst>
              <c:ext xmlns:c16="http://schemas.microsoft.com/office/drawing/2014/chart" uri="{C3380CC4-5D6E-409C-BE32-E72D297353CC}">
                <c16:uniqueId val="{00000002-1D78-4AC3-AC30-7384DFA0F2CF}"/>
              </c:ext>
            </c:extLst>
          </c:dPt>
          <c:dLbls>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bg1"/>
                    </a:solidFill>
                    <a:latin typeface="+mn-lt"/>
                    <a:ea typeface="+mn-ea"/>
                    <a:cs typeface="+mn-cs"/>
                  </a:defRPr>
                </a:pPr>
                <a:endParaRPr lang="vi-VN"/>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PivotSheet!$U$5:$U$7</c:f>
              <c:strCache>
                <c:ptCount val="3"/>
                <c:pt idx="0">
                  <c:v>Baseline Cost</c:v>
                </c:pt>
                <c:pt idx="1">
                  <c:v>Estimated Cost</c:v>
                </c:pt>
                <c:pt idx="2">
                  <c:v>Actual Cost</c:v>
                </c:pt>
              </c:strCache>
            </c:strRef>
          </c:cat>
          <c:val>
            <c:numRef>
              <c:f>PivotSheet!$V$5:$V$7</c:f>
              <c:numCache>
                <c:formatCode>"$"\ #,##0</c:formatCode>
                <c:ptCount val="3"/>
              </c:numCache>
            </c:numRef>
          </c:val>
          <c:extLst>
            <c:ext xmlns:c16="http://schemas.microsoft.com/office/drawing/2014/chart" uri="{C3380CC4-5D6E-409C-BE32-E72D297353CC}">
              <c16:uniqueId val="{00000000-1D78-4AC3-AC30-7384DFA0F2CF}"/>
            </c:ext>
          </c:extLst>
        </c:ser>
        <c:dLbls>
          <c:showLegendKey val="0"/>
          <c:showVal val="0"/>
          <c:showCatName val="0"/>
          <c:showSerName val="0"/>
          <c:showPercent val="0"/>
          <c:showBubbleSize val="0"/>
        </c:dLbls>
        <c:gapWidth val="150"/>
        <c:axId val="430710176"/>
        <c:axId val="704161712"/>
      </c:barChart>
      <c:catAx>
        <c:axId val="430710176"/>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vi-VN"/>
          </a:p>
        </c:txPr>
        <c:crossAx val="704161712"/>
        <c:crosses val="autoZero"/>
        <c:auto val="1"/>
        <c:lblAlgn val="ctr"/>
        <c:lblOffset val="100"/>
        <c:noMultiLvlLbl val="0"/>
      </c:catAx>
      <c:valAx>
        <c:axId val="704161712"/>
        <c:scaling>
          <c:orientation val="minMax"/>
        </c:scaling>
        <c:delete val="1"/>
        <c:axPos val="b"/>
        <c:numFmt formatCode="&quot;$&quot;\ #,##0" sourceLinked="1"/>
        <c:majorTickMark val="none"/>
        <c:minorTickMark val="none"/>
        <c:tickLblPos val="nextTo"/>
        <c:crossAx val="43071017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vi-VN"/>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6.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openxmlformats.org/officeDocument/2006/relationships/hyperlink" Target="https://www.ganttexcel.com/?utm_source=xlcustlogo&amp;utm_medium=customer" TargetMode="External"/></Relationships>
</file>

<file path=xl/drawings/drawing1.xml><?xml version="1.0" encoding="utf-8"?>
<xdr:wsDr xmlns:xdr="http://schemas.openxmlformats.org/drawingml/2006/spreadsheetDrawing" xmlns:a="http://schemas.openxmlformats.org/drawingml/2006/main">
  <xdr:twoCellAnchor>
    <xdr:from>
      <xdr:col>1</xdr:col>
      <xdr:colOff>333375</xdr:colOff>
      <xdr:row>5</xdr:row>
      <xdr:rowOff>85726</xdr:rowOff>
    </xdr:from>
    <xdr:to>
      <xdr:col>7</xdr:col>
      <xdr:colOff>9525</xdr:colOff>
      <xdr:row>12</xdr:row>
      <xdr:rowOff>104776</xdr:rowOff>
    </xdr:to>
    <xdr:sp macro="" textlink="">
      <xdr:nvSpPr>
        <xdr:cNvPr id="2" name="Notice2">
          <a:extLst>
            <a:ext uri="{FF2B5EF4-FFF2-40B4-BE49-F238E27FC236}">
              <a16:creationId xmlns:a16="http://schemas.microsoft.com/office/drawing/2014/main" id="{00000000-0008-0000-0000-000002000000}"/>
            </a:ext>
          </a:extLst>
        </xdr:cNvPr>
        <xdr:cNvSpPr/>
      </xdr:nvSpPr>
      <xdr:spPr>
        <a:xfrm>
          <a:off x="1190625" y="1038226"/>
          <a:ext cx="5324475" cy="1352550"/>
        </a:xfrm>
        <a:prstGeom prst="rect">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solidFill>
                <a:srgbClr val="FF0000"/>
              </a:solidFill>
            </a:rPr>
            <a:t>Please </a:t>
          </a:r>
          <a:r>
            <a:rPr lang="en-US" sz="2400" b="1">
              <a:solidFill>
                <a:srgbClr val="FF0000"/>
              </a:solidFill>
            </a:rPr>
            <a:t>DO</a:t>
          </a:r>
          <a:r>
            <a:rPr lang="en-US" sz="2400" b="1" baseline="0">
              <a:solidFill>
                <a:srgbClr val="FF0000"/>
              </a:solidFill>
            </a:rPr>
            <a:t> NOT </a:t>
          </a:r>
          <a:r>
            <a:rPr lang="en-US" sz="2400" baseline="0">
              <a:solidFill>
                <a:srgbClr val="FF0000"/>
              </a:solidFill>
            </a:rPr>
            <a:t>delete this worksheet. Deleting this Worksheet will result in errors.</a:t>
          </a:r>
          <a:endParaRPr lang="en-US" sz="2400">
            <a:solidFill>
              <a:srgbClr val="FF0000"/>
            </a:solidFill>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85725</xdr:colOff>
      <xdr:row>7</xdr:row>
      <xdr:rowOff>161925</xdr:rowOff>
    </xdr:from>
    <xdr:to>
      <xdr:col>9</xdr:col>
      <xdr:colOff>533400</xdr:colOff>
      <xdr:row>16</xdr:row>
      <xdr:rowOff>19050</xdr:rowOff>
    </xdr:to>
    <xdr:sp macro="" textlink="">
      <xdr:nvSpPr>
        <xdr:cNvPr id="2" name="Notice1">
          <a:extLst>
            <a:ext uri="{FF2B5EF4-FFF2-40B4-BE49-F238E27FC236}">
              <a16:creationId xmlns:a16="http://schemas.microsoft.com/office/drawing/2014/main" id="{00000000-0008-0000-0100-000002000000}"/>
            </a:ext>
          </a:extLst>
        </xdr:cNvPr>
        <xdr:cNvSpPr/>
      </xdr:nvSpPr>
      <xdr:spPr>
        <a:xfrm>
          <a:off x="695325" y="1495425"/>
          <a:ext cx="5324475" cy="1571625"/>
        </a:xfrm>
        <a:prstGeom prst="rect">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solidFill>
                <a:srgbClr val="FF0000"/>
              </a:solidFill>
            </a:rPr>
            <a:t>Please </a:t>
          </a:r>
          <a:r>
            <a:rPr lang="en-US" sz="2400" b="1">
              <a:solidFill>
                <a:srgbClr val="FF0000"/>
              </a:solidFill>
            </a:rPr>
            <a:t>DO</a:t>
          </a:r>
          <a:r>
            <a:rPr lang="en-US" sz="2400" b="1" baseline="0">
              <a:solidFill>
                <a:srgbClr val="FF0000"/>
              </a:solidFill>
            </a:rPr>
            <a:t> NOT </a:t>
          </a:r>
          <a:r>
            <a:rPr lang="en-US" sz="2400" baseline="0">
              <a:solidFill>
                <a:srgbClr val="FF0000"/>
              </a:solidFill>
            </a:rPr>
            <a:t>delete this worksheet. Deleting this Worksheet will result in errors.</a:t>
          </a:r>
          <a:endParaRPr lang="en-US" sz="2400">
            <a:solidFill>
              <a:srgbClr val="FF0000"/>
            </a:solidFill>
          </a:endParaRPr>
        </a:p>
      </xdr:txBody>
    </xdr:sp>
    <xdr:clientData/>
  </xdr:twoCellAnchor>
</xdr:wsDr>
</file>

<file path=xl/drawings/drawing3.xml><?xml version="1.0" encoding="utf-8"?>
<xdr:wsDr xmlns:xdr="http://schemas.openxmlformats.org/drawingml/2006/spreadsheetDrawing" xmlns:a="http://schemas.openxmlformats.org/drawingml/2006/main">
  <xdr:absoluteAnchor>
    <xdr:pos x="0" y="437773"/>
    <xdr:ext cx="2286000" cy="2286000"/>
    <xdr:graphicFrame macro="">
      <xdr:nvGraphicFramePr>
        <xdr:cNvPr id="2" name="chrt_ProjectProgress">
          <a:extLst>
            <a:ext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absoluteAnchor>
    <xdr:pos x="231637" y="3058419"/>
    <xdr:ext cx="914400" cy="365760"/>
    <xdr:sp macro="" textlink="">
      <xdr:nvSpPr>
        <xdr:cNvPr id="3" name="EstimatedBudget">
          <a:extLst>
            <a:ext uri="{FF2B5EF4-FFF2-40B4-BE49-F238E27FC236}">
              <a16:creationId xmlns:a16="http://schemas.microsoft.com/office/drawing/2014/main" id="{00000000-0008-0000-0200-000003000000}"/>
            </a:ext>
          </a:extLst>
        </xdr:cNvPr>
        <xdr:cNvSpPr/>
      </xdr:nvSpPr>
      <xdr:spPr>
        <a:xfrm>
          <a:off x="231637" y="3058419"/>
          <a:ext cx="914400" cy="365760"/>
        </a:xfrm>
        <a:prstGeom prst="rect">
          <a:avLst/>
        </a:prstGeom>
        <a:solidFill>
          <a:schemeClr val="bg1">
            <a:lumMod val="50000"/>
          </a:schemeClr>
        </a:solidFill>
        <a:ln>
          <a:noFill/>
        </a:ln>
        <a:effectLst>
          <a:outerShdw blurRad="76200" dist="12700" dir="8100000" sy="-23000" kx="800400" algn="br" rotWithShape="0">
            <a:prstClr val="black">
              <a:alpha val="20000"/>
            </a:prstClr>
          </a:outerShdw>
        </a:effectLst>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ctr"/>
          <a:r>
            <a:rPr lang="en-US" sz="800" b="1">
              <a:solidFill>
                <a:schemeClr val="bg1"/>
              </a:solidFill>
            </a:rPr>
            <a:t>ESTIMATED BUDGET</a:t>
          </a:r>
        </a:p>
      </xdr:txBody>
    </xdr:sp>
    <xdr:clientData/>
  </xdr:absoluteAnchor>
  <xdr:absoluteAnchor>
    <xdr:pos x="1146037" y="3058419"/>
    <xdr:ext cx="1463040" cy="365760"/>
    <xdr:sp macro="" textlink="$AS$2">
      <xdr:nvSpPr>
        <xdr:cNvPr id="21" name="EstimatedBudget">
          <a:extLst>
            <a:ext uri="{FF2B5EF4-FFF2-40B4-BE49-F238E27FC236}">
              <a16:creationId xmlns:a16="http://schemas.microsoft.com/office/drawing/2014/main" id="{00000000-0008-0000-0200-000015000000}"/>
            </a:ext>
          </a:extLst>
        </xdr:cNvPr>
        <xdr:cNvSpPr/>
      </xdr:nvSpPr>
      <xdr:spPr>
        <a:xfrm>
          <a:off x="1146037" y="3058419"/>
          <a:ext cx="1463040" cy="365760"/>
        </a:xfrm>
        <a:prstGeom prst="rect">
          <a:avLst/>
        </a:prstGeom>
        <a:solidFill>
          <a:srgbClr val="57D3FF"/>
        </a:solidFill>
        <a:ln>
          <a:noFill/>
        </a:ln>
        <a:effectLst>
          <a:outerShdw blurRad="76200" dist="12700" dir="8100000" sy="-23000" kx="800400" algn="br" rotWithShape="0">
            <a:prstClr val="black">
              <a:alpha val="20000"/>
            </a:prstClr>
          </a:outerShdw>
        </a:effectLst>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ctr"/>
          <a:fld id="{5E0A87CC-CC3C-40E7-B128-89605F0C0F66}" type="TxLink">
            <a:rPr lang="en-US" sz="1200" b="0" i="0" u="none" strike="noStrike">
              <a:solidFill>
                <a:schemeClr val="bg1"/>
              </a:solidFill>
              <a:effectLst>
                <a:outerShdw blurRad="50800" dist="38100" dir="2700000" algn="tl" rotWithShape="0">
                  <a:prstClr val="black">
                    <a:alpha val="40000"/>
                  </a:prstClr>
                </a:outerShdw>
              </a:effectLst>
              <a:latin typeface="Calibri"/>
              <a:cs typeface="Calibri"/>
            </a:rPr>
            <a:pPr algn="ctr"/>
            <a:t>$ 1000</a:t>
          </a:fld>
          <a:endParaRPr lang="en-IN" sz="1200" b="1">
            <a:solidFill>
              <a:schemeClr val="bg1"/>
            </a:solidFill>
            <a:effectLst>
              <a:outerShdw blurRad="50800" dist="38100" dir="2700000" algn="tl" rotWithShape="0">
                <a:prstClr val="black">
                  <a:alpha val="40000"/>
                </a:prstClr>
              </a:outerShdw>
            </a:effectLst>
          </a:endParaRPr>
        </a:p>
      </xdr:txBody>
    </xdr:sp>
    <xdr:clientData/>
  </xdr:absoluteAnchor>
  <xdr:absoluteAnchor>
    <xdr:pos x="2612887" y="3429894"/>
    <xdr:ext cx="1463040" cy="365760"/>
    <xdr:sp macro="" textlink="$AT$2">
      <xdr:nvSpPr>
        <xdr:cNvPr id="24" name="EstimatedBudget">
          <a:extLst>
            <a:ext uri="{FF2B5EF4-FFF2-40B4-BE49-F238E27FC236}">
              <a16:creationId xmlns:a16="http://schemas.microsoft.com/office/drawing/2014/main" id="{00000000-0008-0000-0200-000018000000}"/>
            </a:ext>
          </a:extLst>
        </xdr:cNvPr>
        <xdr:cNvSpPr/>
      </xdr:nvSpPr>
      <xdr:spPr>
        <a:xfrm>
          <a:off x="2612887" y="3429894"/>
          <a:ext cx="1463040" cy="365760"/>
        </a:xfrm>
        <a:prstGeom prst="rect">
          <a:avLst/>
        </a:prstGeom>
        <a:solidFill>
          <a:schemeClr val="accent4"/>
        </a:solidFill>
        <a:ln>
          <a:noFill/>
        </a:ln>
        <a:effectLst>
          <a:outerShdw blurRad="76200" dist="12700" dir="8100000" sy="-23000" kx="800400" algn="br" rotWithShape="0">
            <a:prstClr val="black">
              <a:alpha val="20000"/>
            </a:prstClr>
          </a:outerShdw>
        </a:effectLst>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ctr"/>
          <a:fld id="{E699BC73-BF65-4A8A-AF1E-30AAEC1BEADE}" type="TxLink">
            <a:rPr lang="en-US" sz="1200" b="0" i="0" u="none" strike="noStrike">
              <a:solidFill>
                <a:schemeClr val="bg1"/>
              </a:solidFill>
              <a:effectLst>
                <a:outerShdw blurRad="50800" dist="38100" dir="2700000" algn="tl" rotWithShape="0">
                  <a:prstClr val="black">
                    <a:alpha val="40000"/>
                  </a:prstClr>
                </a:outerShdw>
              </a:effectLst>
              <a:latin typeface="Calibri"/>
              <a:cs typeface="Calibri"/>
            </a:rPr>
            <a:pPr algn="ctr"/>
            <a:t>$ 500</a:t>
          </a:fld>
          <a:endParaRPr lang="en-US" sz="1200" b="1">
            <a:solidFill>
              <a:schemeClr val="bg1"/>
            </a:solidFill>
            <a:effectLst>
              <a:outerShdw blurRad="50800" dist="38100" dir="2700000" algn="tl" rotWithShape="0">
                <a:prstClr val="black">
                  <a:alpha val="40000"/>
                </a:prstClr>
              </a:outerShdw>
            </a:effectLst>
          </a:endParaRPr>
        </a:p>
      </xdr:txBody>
    </xdr:sp>
    <xdr:clientData/>
  </xdr:absoluteAnchor>
  <xdr:absoluteAnchor>
    <xdr:pos x="1696107" y="3429894"/>
    <xdr:ext cx="914400" cy="365760"/>
    <xdr:sp macro="" textlink="">
      <xdr:nvSpPr>
        <xdr:cNvPr id="25" name="EstimatedBudget">
          <a:extLst>
            <a:ext uri="{FF2B5EF4-FFF2-40B4-BE49-F238E27FC236}">
              <a16:creationId xmlns:a16="http://schemas.microsoft.com/office/drawing/2014/main" id="{00000000-0008-0000-0200-000019000000}"/>
            </a:ext>
          </a:extLst>
        </xdr:cNvPr>
        <xdr:cNvSpPr/>
      </xdr:nvSpPr>
      <xdr:spPr>
        <a:xfrm>
          <a:off x="1696107" y="3429894"/>
          <a:ext cx="914400" cy="365760"/>
        </a:xfrm>
        <a:prstGeom prst="rect">
          <a:avLst/>
        </a:prstGeom>
        <a:solidFill>
          <a:schemeClr val="bg1">
            <a:lumMod val="50000"/>
          </a:schemeClr>
        </a:solidFill>
        <a:ln>
          <a:noFill/>
        </a:ln>
        <a:effectLst>
          <a:outerShdw blurRad="76200" dist="12700" dir="8100000" sy="-23000" kx="800400" algn="br" rotWithShape="0">
            <a:prstClr val="black">
              <a:alpha val="20000"/>
            </a:prstClr>
          </a:outerShdw>
        </a:effectLst>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ctr"/>
          <a:r>
            <a:rPr lang="en-US" sz="800" b="1">
              <a:solidFill>
                <a:schemeClr val="bg1"/>
              </a:solidFill>
            </a:rPr>
            <a:t>ACTUAL</a:t>
          </a:r>
          <a:br>
            <a:rPr lang="en-US" sz="800" b="1">
              <a:solidFill>
                <a:schemeClr val="bg1"/>
              </a:solidFill>
            </a:rPr>
          </a:br>
          <a:r>
            <a:rPr lang="en-US" sz="800" b="1">
              <a:solidFill>
                <a:schemeClr val="bg1"/>
              </a:solidFill>
            </a:rPr>
            <a:t>COST</a:t>
          </a:r>
        </a:p>
      </xdr:txBody>
    </xdr:sp>
    <xdr:clientData/>
  </xdr:absoluteAnchor>
  <xdr:absoluteAnchor>
    <xdr:pos x="589894" y="1464242"/>
    <xdr:ext cx="1085850" cy="345836"/>
    <xdr:sp macro="" textlink="$AX$2">
      <xdr:nvSpPr>
        <xdr:cNvPr id="18" name="BC">
          <a:extLst>
            <a:ext uri="{FF2B5EF4-FFF2-40B4-BE49-F238E27FC236}">
              <a16:creationId xmlns:a16="http://schemas.microsoft.com/office/drawing/2014/main" id="{00000000-0008-0000-0200-000012000000}"/>
            </a:ext>
          </a:extLst>
        </xdr:cNvPr>
        <xdr:cNvSpPr/>
      </xdr:nvSpPr>
      <xdr:spPr>
        <a:xfrm>
          <a:off x="589894" y="1464242"/>
          <a:ext cx="1085850" cy="345836"/>
        </a:xfrm>
        <a:prstGeom prst="rect">
          <a:avLst/>
        </a:prstGeom>
        <a:noFill/>
        <a:ln>
          <a:noFill/>
        </a:ln>
        <a:effectLst/>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ctr"/>
          <a:fld id="{C71B8E82-EED3-4ABF-88F4-91CAC87EB43F}" type="TxLink">
            <a:rPr lang="en-US" sz="1600" b="0" i="0" u="none" strike="noStrike">
              <a:solidFill>
                <a:schemeClr val="tx1"/>
              </a:solidFill>
              <a:latin typeface="Calibri"/>
              <a:cs typeface="Calibri"/>
            </a:rPr>
            <a:pPr algn="ctr"/>
            <a:t>50%</a:t>
          </a:fld>
          <a:endParaRPr lang="en-IN" sz="1600" b="0">
            <a:solidFill>
              <a:schemeClr val="tx1"/>
            </a:solidFill>
          </a:endParaRPr>
        </a:p>
      </xdr:txBody>
    </xdr:sp>
    <xdr:clientData/>
  </xdr:absoluteAnchor>
  <mc:AlternateContent xmlns:mc="http://schemas.openxmlformats.org/markup-compatibility/2006">
    <mc:Choice xmlns:a14="http://schemas.microsoft.com/office/drawing/2010/main" Requires="a14">
      <xdr:twoCellAnchor editAs="absolute">
        <xdr:from>
          <xdr:col>5</xdr:col>
          <xdr:colOff>144780</xdr:colOff>
          <xdr:row>1</xdr:row>
          <xdr:rowOff>22860</xdr:rowOff>
        </xdr:from>
        <xdr:to>
          <xdr:col>5</xdr:col>
          <xdr:colOff>678180</xdr:colOff>
          <xdr:row>1</xdr:row>
          <xdr:rowOff>228600</xdr:rowOff>
        </xdr:to>
        <xdr:sp macro="" textlink="">
          <xdr:nvSpPr>
            <xdr:cNvPr id="2049" name="btnRefreshDashboard" hidden="1">
              <a:extLst>
                <a:ext uri="{63B3BB69-23CF-44E3-9099-C40C66FF867C}">
                  <a14:compatExt spid="_x0000_s2049"/>
                </a:ext>
                <a:ext uri="{FF2B5EF4-FFF2-40B4-BE49-F238E27FC236}">
                  <a16:creationId xmlns:a16="http://schemas.microsoft.com/office/drawing/2014/main" id="{00000000-0008-0000-0200-000001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vi-VN" sz="1100" b="0" i="0" u="none" strike="noStrike" baseline="0">
                  <a:solidFill>
                    <a:srgbClr val="000000"/>
                  </a:solidFill>
                  <a:latin typeface="Calibri"/>
                  <a:cs typeface="Calibri"/>
                </a:rPr>
                <a:t>Refresh</a:t>
              </a:r>
            </a:p>
          </xdr:txBody>
        </xdr:sp>
        <xdr:clientData fPrintsWithSheet="0"/>
      </xdr:twoCellAnchor>
    </mc:Choice>
    <mc:Fallback/>
  </mc:AlternateContent>
  <xdr:twoCellAnchor>
    <xdr:from>
      <xdr:col>6</xdr:col>
      <xdr:colOff>492672</xdr:colOff>
      <xdr:row>10</xdr:row>
      <xdr:rowOff>152400</xdr:rowOff>
    </xdr:from>
    <xdr:to>
      <xdr:col>9</xdr:col>
      <xdr:colOff>549822</xdr:colOff>
      <xdr:row>27</xdr:row>
      <xdr:rowOff>107731</xdr:rowOff>
    </xdr:to>
    <xdr:graphicFrame macro="">
      <xdr:nvGraphicFramePr>
        <xdr:cNvPr id="28" name="chTaskStatus">
          <a:extLst>
            <a:ext uri="{FF2B5EF4-FFF2-40B4-BE49-F238E27FC236}">
              <a16:creationId xmlns:a16="http://schemas.microsoft.com/office/drawing/2014/main" id="{00000000-0008-0000-02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5</xdr:col>
      <xdr:colOff>90738</xdr:colOff>
      <xdr:row>12</xdr:row>
      <xdr:rowOff>171951</xdr:rowOff>
    </xdr:from>
    <xdr:to>
      <xdr:col>6</xdr:col>
      <xdr:colOff>414588</xdr:colOff>
      <xdr:row>19</xdr:row>
      <xdr:rowOff>17646</xdr:rowOff>
    </xdr:to>
    <mc:AlternateContent xmlns:mc="http://schemas.openxmlformats.org/markup-compatibility/2006" xmlns:a14="http://schemas.microsoft.com/office/drawing/2010/main">
      <mc:Choice Requires="a14">
        <xdr:graphicFrame macro="">
          <xdr:nvGraphicFramePr>
            <xdr:cNvPr id="29" name="Priority">
              <a:extLst>
                <a:ext uri="{FF2B5EF4-FFF2-40B4-BE49-F238E27FC236}">
                  <a16:creationId xmlns:a16="http://schemas.microsoft.com/office/drawing/2014/main" id="{00000000-0008-0000-0200-00001D000000}"/>
                </a:ext>
              </a:extLst>
            </xdr:cNvPr>
            <xdr:cNvGraphicFramePr/>
          </xdr:nvGraphicFramePr>
          <xdr:xfrm>
            <a:off x="0" y="0"/>
            <a:ext cx="0" cy="0"/>
          </xdr:xfrm>
          <a:graphic>
            <a:graphicData uri="http://schemas.microsoft.com/office/drawing/2010/slicer">
              <sle:slicer xmlns:sle="http://schemas.microsoft.com/office/drawing/2010/slicer" name="Priority"/>
            </a:graphicData>
          </a:graphic>
        </xdr:graphicFrame>
      </mc:Choice>
      <mc:Fallback xmlns="">
        <xdr:sp macro="" textlink="">
          <xdr:nvSpPr>
            <xdr:cNvPr id="0" name=""/>
            <xdr:cNvSpPr>
              <a:spLocks noTextEdit="1"/>
            </xdr:cNvSpPr>
          </xdr:nvSpPr>
          <xdr:spPr>
            <a:xfrm>
              <a:off x="4348413" y="2410326"/>
              <a:ext cx="1371600" cy="118872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9</xdr:col>
      <xdr:colOff>638069</xdr:colOff>
      <xdr:row>10</xdr:row>
      <xdr:rowOff>155124</xdr:rowOff>
    </xdr:from>
    <xdr:to>
      <xdr:col>12</xdr:col>
      <xdr:colOff>695219</xdr:colOff>
      <xdr:row>27</xdr:row>
      <xdr:rowOff>110455</xdr:rowOff>
    </xdr:to>
    <xdr:graphicFrame macro="">
      <xdr:nvGraphicFramePr>
        <xdr:cNvPr id="30" name="Chart 29">
          <a:extLst>
            <a:ext uri="{FF2B5EF4-FFF2-40B4-BE49-F238E27FC236}">
              <a16:creationId xmlns:a16="http://schemas.microsoft.com/office/drawing/2014/main" id="{00000000-0008-0000-02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5</xdr:col>
      <xdr:colOff>95249</xdr:colOff>
      <xdr:row>3</xdr:row>
      <xdr:rowOff>9525</xdr:rowOff>
    </xdr:from>
    <xdr:to>
      <xdr:col>6</xdr:col>
      <xdr:colOff>419099</xdr:colOff>
      <xdr:row>12</xdr:row>
      <xdr:rowOff>123825</xdr:rowOff>
    </xdr:to>
    <mc:AlternateContent xmlns:mc="http://schemas.openxmlformats.org/markup-compatibility/2006" xmlns:a14="http://schemas.microsoft.com/office/drawing/2010/main">
      <mc:Choice Requires="a14">
        <xdr:graphicFrame macro="">
          <xdr:nvGraphicFramePr>
            <xdr:cNvPr id="31" name="Status">
              <a:extLst>
                <a:ext uri="{FF2B5EF4-FFF2-40B4-BE49-F238E27FC236}">
                  <a16:creationId xmlns:a16="http://schemas.microsoft.com/office/drawing/2014/main" id="{00000000-0008-0000-0200-00001F000000}"/>
                </a:ext>
              </a:extLst>
            </xdr:cNvPr>
            <xdr:cNvGraphicFramePr/>
          </xdr:nvGraphicFramePr>
          <xdr:xfrm>
            <a:off x="0" y="0"/>
            <a:ext cx="0" cy="0"/>
          </xdr:xfrm>
          <a:graphic>
            <a:graphicData uri="http://schemas.microsoft.com/office/drawing/2010/slicer">
              <sle:slicer xmlns:sle="http://schemas.microsoft.com/office/drawing/2010/slicer" name="Status"/>
            </a:graphicData>
          </a:graphic>
        </xdr:graphicFrame>
      </mc:Choice>
      <mc:Fallback xmlns="">
        <xdr:sp macro="" textlink="">
          <xdr:nvSpPr>
            <xdr:cNvPr id="0" name=""/>
            <xdr:cNvSpPr>
              <a:spLocks noTextEdit="1"/>
            </xdr:cNvSpPr>
          </xdr:nvSpPr>
          <xdr:spPr>
            <a:xfrm>
              <a:off x="4352924" y="533400"/>
              <a:ext cx="1371600" cy="18288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6</xdr:col>
      <xdr:colOff>495630</xdr:colOff>
      <xdr:row>28</xdr:row>
      <xdr:rowOff>9853</xdr:rowOff>
    </xdr:from>
    <xdr:to>
      <xdr:col>12</xdr:col>
      <xdr:colOff>692818</xdr:colOff>
      <xdr:row>37</xdr:row>
      <xdr:rowOff>114300</xdr:rowOff>
    </xdr:to>
    <xdr:graphicFrame macro="">
      <xdr:nvGraphicFramePr>
        <xdr:cNvPr id="32" name="Chart 31">
          <a:extLst>
            <a:ext uri="{FF2B5EF4-FFF2-40B4-BE49-F238E27FC236}">
              <a16:creationId xmlns:a16="http://schemas.microsoft.com/office/drawing/2014/main" id="{00000000-0008-0000-02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absoluteAnchor>
    <xdr:pos x="977464" y="1667880"/>
    <xdr:ext cx="1085850" cy="237119"/>
    <xdr:sp macro="" textlink="">
      <xdr:nvSpPr>
        <xdr:cNvPr id="17" name="BC">
          <a:extLst>
            <a:ext uri="{FF2B5EF4-FFF2-40B4-BE49-F238E27FC236}">
              <a16:creationId xmlns:a16="http://schemas.microsoft.com/office/drawing/2014/main" id="{00000000-0008-0000-0200-000011000000}"/>
            </a:ext>
          </a:extLst>
        </xdr:cNvPr>
        <xdr:cNvSpPr/>
      </xdr:nvSpPr>
      <xdr:spPr>
        <a:xfrm>
          <a:off x="977464" y="1667880"/>
          <a:ext cx="1085850" cy="237119"/>
        </a:xfrm>
        <a:prstGeom prst="rect">
          <a:avLst/>
        </a:prstGeom>
        <a:noFill/>
        <a:ln>
          <a:noFill/>
        </a:ln>
        <a:effectLst/>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ctr"/>
          <a:r>
            <a:rPr lang="en-US" sz="1000" b="0" i="0" u="none" strike="noStrike">
              <a:solidFill>
                <a:sysClr val="windowText" lastClr="000000"/>
              </a:solidFill>
              <a:latin typeface="Calibri"/>
              <a:cs typeface="Calibri"/>
            </a:rPr>
            <a:t>COMPLETE</a:t>
          </a:r>
        </a:p>
      </xdr:txBody>
    </xdr:sp>
    <xdr:clientData/>
  </xdr:absoluteAnchor>
  <xdr:twoCellAnchor editAs="oneCell">
    <xdr:from>
      <xdr:col>6</xdr:col>
      <xdr:colOff>492292</xdr:colOff>
      <xdr:row>3</xdr:row>
      <xdr:rowOff>5014</xdr:rowOff>
    </xdr:from>
    <xdr:to>
      <xdr:col>12</xdr:col>
      <xdr:colOff>682792</xdr:colOff>
      <xdr:row>10</xdr:row>
      <xdr:rowOff>57150</xdr:rowOff>
    </xdr:to>
    <mc:AlternateContent xmlns:mc="http://schemas.openxmlformats.org/markup-compatibility/2006" xmlns:tsle="http://schemas.microsoft.com/office/drawing/2012/timeslicer">
      <mc:Choice Requires="tsle">
        <xdr:graphicFrame macro="">
          <xdr:nvGraphicFramePr>
            <xdr:cNvPr id="19" name="EED 2">
              <a:extLst>
                <a:ext uri="{FF2B5EF4-FFF2-40B4-BE49-F238E27FC236}">
                  <a16:creationId xmlns:a16="http://schemas.microsoft.com/office/drawing/2014/main" id="{00000000-0008-0000-0200-000013000000}"/>
                </a:ext>
              </a:extLst>
            </xdr:cNvPr>
            <xdr:cNvGraphicFramePr/>
          </xdr:nvGraphicFramePr>
          <xdr:xfrm>
            <a:off x="0" y="0"/>
            <a:ext cx="0" cy="0"/>
          </xdr:xfrm>
          <a:graphic>
            <a:graphicData uri="http://schemas.microsoft.com/office/drawing/2012/timeslicer">
              <tsle:timeslicer name="EED 2"/>
            </a:graphicData>
          </a:graphic>
        </xdr:graphicFrame>
      </mc:Choice>
      <mc:Fallback xmlns="">
        <xdr:sp macro="" textlink="">
          <xdr:nvSpPr>
            <xdr:cNvPr id="0" name=""/>
            <xdr:cNvSpPr>
              <a:spLocks noTextEdit="1"/>
            </xdr:cNvSpPr>
          </xdr:nvSpPr>
          <xdr:spPr>
            <a:xfrm>
              <a:off x="5797717" y="528889"/>
              <a:ext cx="6477000" cy="1385636"/>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xdr:clientData/>
  </xdr:twoCellAnchor>
  <xdr:twoCellAnchor editAs="oneCell">
    <xdr:from>
      <xdr:col>5</xdr:col>
      <xdr:colOff>95250</xdr:colOff>
      <xdr:row>19</xdr:row>
      <xdr:rowOff>85725</xdr:rowOff>
    </xdr:from>
    <xdr:to>
      <xdr:col>6</xdr:col>
      <xdr:colOff>419100</xdr:colOff>
      <xdr:row>37</xdr:row>
      <xdr:rowOff>114300</xdr:rowOff>
    </xdr:to>
    <mc:AlternateContent xmlns:mc="http://schemas.openxmlformats.org/markup-compatibility/2006" xmlns:a14="http://schemas.microsoft.com/office/drawing/2010/main">
      <mc:Choice Requires="a14">
        <xdr:graphicFrame macro="">
          <xdr:nvGraphicFramePr>
            <xdr:cNvPr id="20" name="Resource">
              <a:extLst>
                <a:ext uri="{FF2B5EF4-FFF2-40B4-BE49-F238E27FC236}">
                  <a16:creationId xmlns:a16="http://schemas.microsoft.com/office/drawing/2014/main" id="{00000000-0008-0000-0200-000014000000}"/>
                </a:ext>
              </a:extLst>
            </xdr:cNvPr>
            <xdr:cNvGraphicFramePr/>
          </xdr:nvGraphicFramePr>
          <xdr:xfrm>
            <a:off x="0" y="0"/>
            <a:ext cx="0" cy="0"/>
          </xdr:xfrm>
          <a:graphic>
            <a:graphicData uri="http://schemas.microsoft.com/office/drawing/2010/slicer">
              <sle:slicer xmlns:sle="http://schemas.microsoft.com/office/drawing/2010/slicer" name="Resource"/>
            </a:graphicData>
          </a:graphic>
        </xdr:graphicFrame>
      </mc:Choice>
      <mc:Fallback xmlns="">
        <xdr:sp macro="" textlink="">
          <xdr:nvSpPr>
            <xdr:cNvPr id="0" name=""/>
            <xdr:cNvSpPr>
              <a:spLocks noTextEdit="1"/>
            </xdr:cNvSpPr>
          </xdr:nvSpPr>
          <xdr:spPr>
            <a:xfrm>
              <a:off x="4352925" y="3667125"/>
              <a:ext cx="1371600" cy="34575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3</xdr:col>
      <xdr:colOff>9525</xdr:colOff>
      <xdr:row>39</xdr:row>
      <xdr:rowOff>180975</xdr:rowOff>
    </xdr:from>
    <xdr:to>
      <xdr:col>8</xdr:col>
      <xdr:colOff>95250</xdr:colOff>
      <xdr:row>47</xdr:row>
      <xdr:rowOff>9525</xdr:rowOff>
    </xdr:to>
    <xdr:sp macro="" textlink="">
      <xdr:nvSpPr>
        <xdr:cNvPr id="22" name="Notice4">
          <a:extLst>
            <a:ext uri="{FF2B5EF4-FFF2-40B4-BE49-F238E27FC236}">
              <a16:creationId xmlns:a16="http://schemas.microsoft.com/office/drawing/2014/main" id="{00000000-0008-0000-0200-000016000000}"/>
            </a:ext>
          </a:extLst>
        </xdr:cNvPr>
        <xdr:cNvSpPr/>
      </xdr:nvSpPr>
      <xdr:spPr>
        <a:xfrm>
          <a:off x="2171700" y="7639050"/>
          <a:ext cx="5324475" cy="1352550"/>
        </a:xfrm>
        <a:prstGeom prst="rect">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solidFill>
                <a:srgbClr val="FF0000"/>
              </a:solidFill>
            </a:rPr>
            <a:t>Please </a:t>
          </a:r>
          <a:r>
            <a:rPr lang="en-US" sz="2400" b="1">
              <a:solidFill>
                <a:srgbClr val="FF0000"/>
              </a:solidFill>
            </a:rPr>
            <a:t>DO</a:t>
          </a:r>
          <a:r>
            <a:rPr lang="en-US" sz="2400" b="1" baseline="0">
              <a:solidFill>
                <a:srgbClr val="FF0000"/>
              </a:solidFill>
            </a:rPr>
            <a:t> NOT </a:t>
          </a:r>
          <a:r>
            <a:rPr lang="en-US" sz="2400" baseline="0">
              <a:solidFill>
                <a:srgbClr val="FF0000"/>
              </a:solidFill>
            </a:rPr>
            <a:t>delete this worksheet. Deleting this Worksheet will result in errors.</a:t>
          </a:r>
          <a:endParaRPr lang="en-US" sz="2400">
            <a:solidFill>
              <a:srgbClr val="FF0000"/>
            </a:solidFill>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3</xdr:col>
      <xdr:colOff>0</xdr:colOff>
      <xdr:row>12</xdr:row>
      <xdr:rowOff>0</xdr:rowOff>
    </xdr:from>
    <xdr:to>
      <xdr:col>10</xdr:col>
      <xdr:colOff>790575</xdr:colOff>
      <xdr:row>19</xdr:row>
      <xdr:rowOff>19050</xdr:rowOff>
    </xdr:to>
    <xdr:sp macro="" textlink="">
      <xdr:nvSpPr>
        <xdr:cNvPr id="2" name="Notice3">
          <a:extLst>
            <a:ext uri="{FF2B5EF4-FFF2-40B4-BE49-F238E27FC236}">
              <a16:creationId xmlns:a16="http://schemas.microsoft.com/office/drawing/2014/main" id="{00000000-0008-0000-0300-000002000000}"/>
            </a:ext>
          </a:extLst>
        </xdr:cNvPr>
        <xdr:cNvSpPr/>
      </xdr:nvSpPr>
      <xdr:spPr>
        <a:xfrm>
          <a:off x="2676525" y="2286000"/>
          <a:ext cx="5324475" cy="1352550"/>
        </a:xfrm>
        <a:prstGeom prst="rect">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solidFill>
                <a:srgbClr val="FF0000"/>
              </a:solidFill>
            </a:rPr>
            <a:t>Please </a:t>
          </a:r>
          <a:r>
            <a:rPr lang="en-US" sz="2400" b="1">
              <a:solidFill>
                <a:srgbClr val="FF0000"/>
              </a:solidFill>
            </a:rPr>
            <a:t>DO</a:t>
          </a:r>
          <a:r>
            <a:rPr lang="en-US" sz="2400" b="1" baseline="0">
              <a:solidFill>
                <a:srgbClr val="FF0000"/>
              </a:solidFill>
            </a:rPr>
            <a:t> NOT </a:t>
          </a:r>
          <a:r>
            <a:rPr lang="en-US" sz="2400" baseline="0">
              <a:solidFill>
                <a:srgbClr val="FF0000"/>
              </a:solidFill>
            </a:rPr>
            <a:t>delete this worksheet. Deleting this Worksheet will result in errors.</a:t>
          </a:r>
          <a:endParaRPr lang="en-US" sz="2400">
            <a:solidFill>
              <a:srgbClr val="FF0000"/>
            </a:solidFill>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65</xdr:col>
      <xdr:colOff>0</xdr:colOff>
      <xdr:row>9</xdr:row>
      <xdr:rowOff>38100</xdr:rowOff>
    </xdr:from>
    <xdr:to>
      <xdr:col>162</xdr:col>
      <xdr:colOff>259079</xdr:colOff>
      <xdr:row>9</xdr:row>
      <xdr:rowOff>175260</xdr:rowOff>
    </xdr:to>
    <xdr:sp macro="" textlink="">
      <xdr:nvSpPr>
        <xdr:cNvPr id="2271" name="S_TE_4">
          <a:extLst>
            <a:ext uri="{FF2B5EF4-FFF2-40B4-BE49-F238E27FC236}">
              <a16:creationId xmlns:a16="http://schemas.microsoft.com/office/drawing/2014/main" id="{00000000-0008-0000-0400-0000DF080000}"/>
            </a:ext>
          </a:extLst>
        </xdr:cNvPr>
        <xdr:cNvSpPr/>
      </xdr:nvSpPr>
      <xdr:spPr>
        <a:xfrm>
          <a:off x="12954000" y="1013460"/>
          <a:ext cx="25389839" cy="137160"/>
        </a:xfrm>
        <a:prstGeom prst="leftRightArrow">
          <a:avLst/>
        </a:prstGeom>
        <a:solidFill>
          <a:srgbClr val="A8E7FE"/>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65</xdr:col>
      <xdr:colOff>0</xdr:colOff>
      <xdr:row>10</xdr:row>
      <xdr:rowOff>38100</xdr:rowOff>
    </xdr:from>
    <xdr:to>
      <xdr:col>70</xdr:col>
      <xdr:colOff>0</xdr:colOff>
      <xdr:row>10</xdr:row>
      <xdr:rowOff>175260</xdr:rowOff>
    </xdr:to>
    <xdr:sp macro="" textlink="">
      <xdr:nvSpPr>
        <xdr:cNvPr id="2273" name="S_TH_2">
          <a:extLst>
            <a:ext uri="{FF2B5EF4-FFF2-40B4-BE49-F238E27FC236}">
              <a16:creationId xmlns:a16="http://schemas.microsoft.com/office/drawing/2014/main" id="{00000000-0008-0000-0400-0000E1080000}"/>
            </a:ext>
          </a:extLst>
        </xdr:cNvPr>
        <xdr:cNvSpPr/>
      </xdr:nvSpPr>
      <xdr:spPr>
        <a:xfrm>
          <a:off x="12954000" y="1242060"/>
          <a:ext cx="1295400" cy="137160"/>
        </a:xfrm>
        <a:prstGeom prst="rect">
          <a:avLst/>
        </a:prstGeom>
        <a:solidFill>
          <a:srgbClr val="F0FFDD"/>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65</xdr:col>
      <xdr:colOff>0</xdr:colOff>
      <xdr:row>10</xdr:row>
      <xdr:rowOff>38100</xdr:rowOff>
    </xdr:from>
    <xdr:to>
      <xdr:col>70</xdr:col>
      <xdr:colOff>0</xdr:colOff>
      <xdr:row>10</xdr:row>
      <xdr:rowOff>175260</xdr:rowOff>
    </xdr:to>
    <xdr:sp macro="" textlink="">
      <xdr:nvSpPr>
        <xdr:cNvPr id="2275" name="S_TE_E2">
          <a:extLst>
            <a:ext uri="{FF2B5EF4-FFF2-40B4-BE49-F238E27FC236}">
              <a16:creationId xmlns:a16="http://schemas.microsoft.com/office/drawing/2014/main" id="{00000000-0008-0000-0400-0000E3080000}"/>
            </a:ext>
          </a:extLst>
        </xdr:cNvPr>
        <xdr:cNvSpPr/>
      </xdr:nvSpPr>
      <xdr:spPr>
        <a:xfrm>
          <a:off x="12954000" y="1242060"/>
          <a:ext cx="1295400" cy="137160"/>
        </a:xfrm>
        <a:prstGeom prst="rect">
          <a:avLst/>
        </a:prstGeom>
        <a:solidFill>
          <a:srgbClr val="A8E7FE"/>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70</xdr:col>
      <xdr:colOff>0</xdr:colOff>
      <xdr:row>11</xdr:row>
      <xdr:rowOff>38100</xdr:rowOff>
    </xdr:from>
    <xdr:to>
      <xdr:col>117</xdr:col>
      <xdr:colOff>259079</xdr:colOff>
      <xdr:row>11</xdr:row>
      <xdr:rowOff>175260</xdr:rowOff>
    </xdr:to>
    <xdr:sp macro="" textlink="">
      <xdr:nvSpPr>
        <xdr:cNvPr id="2312" name="S_TH_3">
          <a:extLst>
            <a:ext uri="{FF2B5EF4-FFF2-40B4-BE49-F238E27FC236}">
              <a16:creationId xmlns:a16="http://schemas.microsoft.com/office/drawing/2014/main" id="{00000000-0008-0000-0400-000008090000}"/>
            </a:ext>
          </a:extLst>
        </xdr:cNvPr>
        <xdr:cNvSpPr/>
      </xdr:nvSpPr>
      <xdr:spPr>
        <a:xfrm>
          <a:off x="14249400" y="1470660"/>
          <a:ext cx="12435839" cy="137160"/>
        </a:xfrm>
        <a:prstGeom prst="rect">
          <a:avLst/>
        </a:prstGeom>
        <a:solidFill>
          <a:srgbClr val="F0FFDD"/>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70</xdr:col>
      <xdr:colOff>0</xdr:colOff>
      <xdr:row>11</xdr:row>
      <xdr:rowOff>38100</xdr:rowOff>
    </xdr:from>
    <xdr:to>
      <xdr:col>74</xdr:col>
      <xdr:colOff>0</xdr:colOff>
      <xdr:row>11</xdr:row>
      <xdr:rowOff>175260</xdr:rowOff>
    </xdr:to>
    <xdr:sp macro="" textlink="">
      <xdr:nvSpPr>
        <xdr:cNvPr id="2314" name="S_TE_E3i1">
          <a:extLst>
            <a:ext uri="{FF2B5EF4-FFF2-40B4-BE49-F238E27FC236}">
              <a16:creationId xmlns:a16="http://schemas.microsoft.com/office/drawing/2014/main" id="{00000000-0008-0000-0400-00000A090000}"/>
            </a:ext>
          </a:extLst>
        </xdr:cNvPr>
        <xdr:cNvSpPr/>
      </xdr:nvSpPr>
      <xdr:spPr>
        <a:xfrm>
          <a:off x="14249400" y="1470660"/>
          <a:ext cx="1036320" cy="137160"/>
        </a:xfrm>
        <a:prstGeom prst="rect">
          <a:avLst/>
        </a:prstGeom>
        <a:solidFill>
          <a:srgbClr val="A8E7FE"/>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89</xdr:col>
      <xdr:colOff>0</xdr:colOff>
      <xdr:row>11</xdr:row>
      <xdr:rowOff>38100</xdr:rowOff>
    </xdr:from>
    <xdr:to>
      <xdr:col>97</xdr:col>
      <xdr:colOff>259079</xdr:colOff>
      <xdr:row>11</xdr:row>
      <xdr:rowOff>175260</xdr:rowOff>
    </xdr:to>
    <xdr:sp macro="" textlink="">
      <xdr:nvSpPr>
        <xdr:cNvPr id="2315" name="S_TE_E3i2">
          <a:extLst>
            <a:ext uri="{FF2B5EF4-FFF2-40B4-BE49-F238E27FC236}">
              <a16:creationId xmlns:a16="http://schemas.microsoft.com/office/drawing/2014/main" id="{00000000-0008-0000-0400-00000B090000}"/>
            </a:ext>
          </a:extLst>
        </xdr:cNvPr>
        <xdr:cNvSpPr/>
      </xdr:nvSpPr>
      <xdr:spPr>
        <a:xfrm>
          <a:off x="19171920" y="1470660"/>
          <a:ext cx="2331719" cy="137160"/>
        </a:xfrm>
        <a:prstGeom prst="rect">
          <a:avLst/>
        </a:prstGeom>
        <a:solidFill>
          <a:srgbClr val="A8E7FE"/>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112</xdr:col>
      <xdr:colOff>259079</xdr:colOff>
      <xdr:row>11</xdr:row>
      <xdr:rowOff>38100</xdr:rowOff>
    </xdr:from>
    <xdr:to>
      <xdr:col>117</xdr:col>
      <xdr:colOff>259079</xdr:colOff>
      <xdr:row>11</xdr:row>
      <xdr:rowOff>175260</xdr:rowOff>
    </xdr:to>
    <xdr:sp macro="" textlink="">
      <xdr:nvSpPr>
        <xdr:cNvPr id="2316" name="S_TE_E3i3">
          <a:extLst>
            <a:ext uri="{FF2B5EF4-FFF2-40B4-BE49-F238E27FC236}">
              <a16:creationId xmlns:a16="http://schemas.microsoft.com/office/drawing/2014/main" id="{00000000-0008-0000-0400-00000C090000}"/>
            </a:ext>
          </a:extLst>
        </xdr:cNvPr>
        <xdr:cNvSpPr/>
      </xdr:nvSpPr>
      <xdr:spPr>
        <a:xfrm>
          <a:off x="25389839" y="1470660"/>
          <a:ext cx="1295400" cy="137160"/>
        </a:xfrm>
        <a:prstGeom prst="rect">
          <a:avLst/>
        </a:prstGeom>
        <a:solidFill>
          <a:srgbClr val="A8E7FE"/>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70</xdr:col>
      <xdr:colOff>0</xdr:colOff>
      <xdr:row>12</xdr:row>
      <xdr:rowOff>38100</xdr:rowOff>
    </xdr:from>
    <xdr:to>
      <xdr:col>117</xdr:col>
      <xdr:colOff>259079</xdr:colOff>
      <xdr:row>12</xdr:row>
      <xdr:rowOff>175260</xdr:rowOff>
    </xdr:to>
    <xdr:sp macro="" textlink="">
      <xdr:nvSpPr>
        <xdr:cNvPr id="2320" name="S_TH_5">
          <a:extLst>
            <a:ext uri="{FF2B5EF4-FFF2-40B4-BE49-F238E27FC236}">
              <a16:creationId xmlns:a16="http://schemas.microsoft.com/office/drawing/2014/main" id="{00000000-0008-0000-0400-000010090000}"/>
            </a:ext>
          </a:extLst>
        </xdr:cNvPr>
        <xdr:cNvSpPr/>
      </xdr:nvSpPr>
      <xdr:spPr>
        <a:xfrm>
          <a:off x="14249400" y="1699260"/>
          <a:ext cx="12435839" cy="137160"/>
        </a:xfrm>
        <a:prstGeom prst="rect">
          <a:avLst/>
        </a:prstGeom>
        <a:solidFill>
          <a:srgbClr val="F0FFDD"/>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70</xdr:col>
      <xdr:colOff>0</xdr:colOff>
      <xdr:row>12</xdr:row>
      <xdr:rowOff>38100</xdr:rowOff>
    </xdr:from>
    <xdr:to>
      <xdr:col>74</xdr:col>
      <xdr:colOff>0</xdr:colOff>
      <xdr:row>12</xdr:row>
      <xdr:rowOff>175260</xdr:rowOff>
    </xdr:to>
    <xdr:sp macro="" textlink="">
      <xdr:nvSpPr>
        <xdr:cNvPr id="2322" name="S_TE_E5i1">
          <a:extLst>
            <a:ext uri="{FF2B5EF4-FFF2-40B4-BE49-F238E27FC236}">
              <a16:creationId xmlns:a16="http://schemas.microsoft.com/office/drawing/2014/main" id="{00000000-0008-0000-0400-000012090000}"/>
            </a:ext>
          </a:extLst>
        </xdr:cNvPr>
        <xdr:cNvSpPr/>
      </xdr:nvSpPr>
      <xdr:spPr>
        <a:xfrm>
          <a:off x="14249400" y="1699260"/>
          <a:ext cx="1036320" cy="137160"/>
        </a:xfrm>
        <a:prstGeom prst="rect">
          <a:avLst/>
        </a:prstGeom>
        <a:solidFill>
          <a:srgbClr val="A8E7FE"/>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89</xdr:col>
      <xdr:colOff>0</xdr:colOff>
      <xdr:row>12</xdr:row>
      <xdr:rowOff>38100</xdr:rowOff>
    </xdr:from>
    <xdr:to>
      <xdr:col>97</xdr:col>
      <xdr:colOff>259079</xdr:colOff>
      <xdr:row>12</xdr:row>
      <xdr:rowOff>175260</xdr:rowOff>
    </xdr:to>
    <xdr:sp macro="" textlink="">
      <xdr:nvSpPr>
        <xdr:cNvPr id="2323" name="S_TE_E5i2">
          <a:extLst>
            <a:ext uri="{FF2B5EF4-FFF2-40B4-BE49-F238E27FC236}">
              <a16:creationId xmlns:a16="http://schemas.microsoft.com/office/drawing/2014/main" id="{00000000-0008-0000-0400-000013090000}"/>
            </a:ext>
          </a:extLst>
        </xdr:cNvPr>
        <xdr:cNvSpPr/>
      </xdr:nvSpPr>
      <xdr:spPr>
        <a:xfrm>
          <a:off x="19171920" y="1699260"/>
          <a:ext cx="2331719" cy="137160"/>
        </a:xfrm>
        <a:prstGeom prst="rect">
          <a:avLst/>
        </a:prstGeom>
        <a:solidFill>
          <a:srgbClr val="A8E7FE"/>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112</xdr:col>
      <xdr:colOff>259079</xdr:colOff>
      <xdr:row>12</xdr:row>
      <xdr:rowOff>38100</xdr:rowOff>
    </xdr:from>
    <xdr:to>
      <xdr:col>117</xdr:col>
      <xdr:colOff>259079</xdr:colOff>
      <xdr:row>12</xdr:row>
      <xdr:rowOff>175260</xdr:rowOff>
    </xdr:to>
    <xdr:sp macro="" textlink="">
      <xdr:nvSpPr>
        <xdr:cNvPr id="2324" name="S_TE_E5i3">
          <a:extLst>
            <a:ext uri="{FF2B5EF4-FFF2-40B4-BE49-F238E27FC236}">
              <a16:creationId xmlns:a16="http://schemas.microsoft.com/office/drawing/2014/main" id="{00000000-0008-0000-0400-000014090000}"/>
            </a:ext>
          </a:extLst>
        </xdr:cNvPr>
        <xdr:cNvSpPr/>
      </xdr:nvSpPr>
      <xdr:spPr>
        <a:xfrm>
          <a:off x="25389839" y="1699260"/>
          <a:ext cx="1295400" cy="137160"/>
        </a:xfrm>
        <a:prstGeom prst="rect">
          <a:avLst/>
        </a:prstGeom>
        <a:solidFill>
          <a:srgbClr val="A8E7FE"/>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117</xdr:col>
      <xdr:colOff>259079</xdr:colOff>
      <xdr:row>13</xdr:row>
      <xdr:rowOff>38100</xdr:rowOff>
    </xdr:from>
    <xdr:to>
      <xdr:col>120</xdr:col>
      <xdr:colOff>259079</xdr:colOff>
      <xdr:row>13</xdr:row>
      <xdr:rowOff>175260</xdr:rowOff>
    </xdr:to>
    <xdr:sp macro="" textlink="">
      <xdr:nvSpPr>
        <xdr:cNvPr id="2328" name="S_TH_6">
          <a:extLst>
            <a:ext uri="{FF2B5EF4-FFF2-40B4-BE49-F238E27FC236}">
              <a16:creationId xmlns:a16="http://schemas.microsoft.com/office/drawing/2014/main" id="{00000000-0008-0000-0400-000018090000}"/>
            </a:ext>
          </a:extLst>
        </xdr:cNvPr>
        <xdr:cNvSpPr/>
      </xdr:nvSpPr>
      <xdr:spPr>
        <a:xfrm>
          <a:off x="26685239" y="1927860"/>
          <a:ext cx="777240" cy="137160"/>
        </a:xfrm>
        <a:prstGeom prst="rect">
          <a:avLst/>
        </a:prstGeom>
        <a:solidFill>
          <a:srgbClr val="F0FFDD"/>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117</xdr:col>
      <xdr:colOff>259079</xdr:colOff>
      <xdr:row>13</xdr:row>
      <xdr:rowOff>38100</xdr:rowOff>
    </xdr:from>
    <xdr:to>
      <xdr:col>120</xdr:col>
      <xdr:colOff>259079</xdr:colOff>
      <xdr:row>13</xdr:row>
      <xdr:rowOff>175260</xdr:rowOff>
    </xdr:to>
    <xdr:sp macro="" textlink="">
      <xdr:nvSpPr>
        <xdr:cNvPr id="2330" name="S_TE_E6">
          <a:extLst>
            <a:ext uri="{FF2B5EF4-FFF2-40B4-BE49-F238E27FC236}">
              <a16:creationId xmlns:a16="http://schemas.microsoft.com/office/drawing/2014/main" id="{00000000-0008-0000-0400-00001A090000}"/>
            </a:ext>
          </a:extLst>
        </xdr:cNvPr>
        <xdr:cNvSpPr/>
      </xdr:nvSpPr>
      <xdr:spPr>
        <a:xfrm>
          <a:off x="26685239" y="1927860"/>
          <a:ext cx="777240" cy="137160"/>
        </a:xfrm>
        <a:prstGeom prst="rect">
          <a:avLst/>
        </a:prstGeom>
        <a:solidFill>
          <a:srgbClr val="A8E7FE"/>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137</xdr:col>
      <xdr:colOff>1</xdr:colOff>
      <xdr:row>14</xdr:row>
      <xdr:rowOff>38100</xdr:rowOff>
    </xdr:from>
    <xdr:to>
      <xdr:col>142</xdr:col>
      <xdr:colOff>1</xdr:colOff>
      <xdr:row>14</xdr:row>
      <xdr:rowOff>175260</xdr:rowOff>
    </xdr:to>
    <xdr:sp macro="" textlink="">
      <xdr:nvSpPr>
        <xdr:cNvPr id="2332" name="S_TH_7">
          <a:extLst>
            <a:ext uri="{FF2B5EF4-FFF2-40B4-BE49-F238E27FC236}">
              <a16:creationId xmlns:a16="http://schemas.microsoft.com/office/drawing/2014/main" id="{00000000-0008-0000-0400-00001C090000}"/>
            </a:ext>
          </a:extLst>
        </xdr:cNvPr>
        <xdr:cNvSpPr/>
      </xdr:nvSpPr>
      <xdr:spPr>
        <a:xfrm>
          <a:off x="31607761" y="2156460"/>
          <a:ext cx="1295400" cy="137160"/>
        </a:xfrm>
        <a:prstGeom prst="rect">
          <a:avLst/>
        </a:prstGeom>
        <a:solidFill>
          <a:srgbClr val="D3D3D3"/>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137</xdr:col>
      <xdr:colOff>1</xdr:colOff>
      <xdr:row>14</xdr:row>
      <xdr:rowOff>38100</xdr:rowOff>
    </xdr:from>
    <xdr:to>
      <xdr:col>142</xdr:col>
      <xdr:colOff>1</xdr:colOff>
      <xdr:row>14</xdr:row>
      <xdr:rowOff>175260</xdr:rowOff>
    </xdr:to>
    <xdr:sp macro="" textlink="">
      <xdr:nvSpPr>
        <xdr:cNvPr id="2334" name="S_TE_E7">
          <a:extLst>
            <a:ext uri="{FF2B5EF4-FFF2-40B4-BE49-F238E27FC236}">
              <a16:creationId xmlns:a16="http://schemas.microsoft.com/office/drawing/2014/main" id="{00000000-0008-0000-0400-00001E090000}"/>
            </a:ext>
          </a:extLst>
        </xdr:cNvPr>
        <xdr:cNvSpPr/>
      </xdr:nvSpPr>
      <xdr:spPr>
        <a:xfrm>
          <a:off x="31607761" y="2156460"/>
          <a:ext cx="1295400" cy="137160"/>
        </a:xfrm>
        <a:prstGeom prst="rect">
          <a:avLst/>
        </a:prstGeom>
        <a:solidFill>
          <a:srgbClr val="D3D3D3"/>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160</xdr:col>
      <xdr:colOff>259079</xdr:colOff>
      <xdr:row>15</xdr:row>
      <xdr:rowOff>38100</xdr:rowOff>
    </xdr:from>
    <xdr:to>
      <xdr:col>162</xdr:col>
      <xdr:colOff>259079</xdr:colOff>
      <xdr:row>15</xdr:row>
      <xdr:rowOff>175260</xdr:rowOff>
    </xdr:to>
    <xdr:sp macro="" textlink="">
      <xdr:nvSpPr>
        <xdr:cNvPr id="2336" name="S_TH_8">
          <a:extLst>
            <a:ext uri="{FF2B5EF4-FFF2-40B4-BE49-F238E27FC236}">
              <a16:creationId xmlns:a16="http://schemas.microsoft.com/office/drawing/2014/main" id="{00000000-0008-0000-0400-000020090000}"/>
            </a:ext>
          </a:extLst>
        </xdr:cNvPr>
        <xdr:cNvSpPr/>
      </xdr:nvSpPr>
      <xdr:spPr>
        <a:xfrm>
          <a:off x="37825679" y="2385060"/>
          <a:ext cx="518160" cy="137160"/>
        </a:xfrm>
        <a:prstGeom prst="rect">
          <a:avLst/>
        </a:prstGeom>
        <a:solidFill>
          <a:srgbClr val="D3D3D3"/>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160</xdr:col>
      <xdr:colOff>259079</xdr:colOff>
      <xdr:row>15</xdr:row>
      <xdr:rowOff>38100</xdr:rowOff>
    </xdr:from>
    <xdr:to>
      <xdr:col>162</xdr:col>
      <xdr:colOff>259079</xdr:colOff>
      <xdr:row>15</xdr:row>
      <xdr:rowOff>175260</xdr:rowOff>
    </xdr:to>
    <xdr:sp macro="" textlink="">
      <xdr:nvSpPr>
        <xdr:cNvPr id="2338" name="S_TE_E8">
          <a:extLst>
            <a:ext uri="{FF2B5EF4-FFF2-40B4-BE49-F238E27FC236}">
              <a16:creationId xmlns:a16="http://schemas.microsoft.com/office/drawing/2014/main" id="{00000000-0008-0000-0400-000022090000}"/>
            </a:ext>
          </a:extLst>
        </xdr:cNvPr>
        <xdr:cNvSpPr/>
      </xdr:nvSpPr>
      <xdr:spPr>
        <a:xfrm>
          <a:off x="37825679" y="2385060"/>
          <a:ext cx="518160" cy="137160"/>
        </a:xfrm>
        <a:prstGeom prst="rect">
          <a:avLst/>
        </a:prstGeom>
        <a:solidFill>
          <a:srgbClr val="D3D3D3"/>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233</xdr:col>
      <xdr:colOff>2</xdr:colOff>
      <xdr:row>16</xdr:row>
      <xdr:rowOff>38100</xdr:rowOff>
    </xdr:from>
    <xdr:to>
      <xdr:col>296</xdr:col>
      <xdr:colOff>5</xdr:colOff>
      <xdr:row>16</xdr:row>
      <xdr:rowOff>175260</xdr:rowOff>
    </xdr:to>
    <xdr:sp macro="" textlink="">
      <xdr:nvSpPr>
        <xdr:cNvPr id="2340" name="S_TE_9">
          <a:extLst>
            <a:ext uri="{FF2B5EF4-FFF2-40B4-BE49-F238E27FC236}">
              <a16:creationId xmlns:a16="http://schemas.microsoft.com/office/drawing/2014/main" id="{00000000-0008-0000-0400-000024090000}"/>
            </a:ext>
          </a:extLst>
        </xdr:cNvPr>
        <xdr:cNvSpPr/>
      </xdr:nvSpPr>
      <xdr:spPr>
        <a:xfrm>
          <a:off x="56479442" y="2613660"/>
          <a:ext cx="16322043" cy="137160"/>
        </a:xfrm>
        <a:prstGeom prst="leftRightArrow">
          <a:avLst/>
        </a:prstGeom>
        <a:solidFill>
          <a:srgbClr val="D3D3D3"/>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233</xdr:col>
      <xdr:colOff>2</xdr:colOff>
      <xdr:row>17</xdr:row>
      <xdr:rowOff>38100</xdr:rowOff>
    </xdr:from>
    <xdr:to>
      <xdr:col>258</xdr:col>
      <xdr:colOff>2</xdr:colOff>
      <xdr:row>17</xdr:row>
      <xdr:rowOff>175260</xdr:rowOff>
    </xdr:to>
    <xdr:sp macro="" textlink="">
      <xdr:nvSpPr>
        <xdr:cNvPr id="2342" name="S_TH_10">
          <a:extLst>
            <a:ext uri="{FF2B5EF4-FFF2-40B4-BE49-F238E27FC236}">
              <a16:creationId xmlns:a16="http://schemas.microsoft.com/office/drawing/2014/main" id="{00000000-0008-0000-0400-000026090000}"/>
            </a:ext>
          </a:extLst>
        </xdr:cNvPr>
        <xdr:cNvSpPr/>
      </xdr:nvSpPr>
      <xdr:spPr>
        <a:xfrm>
          <a:off x="56479442" y="2842260"/>
          <a:ext cx="6477000" cy="137160"/>
        </a:xfrm>
        <a:prstGeom prst="rect">
          <a:avLst/>
        </a:prstGeom>
        <a:solidFill>
          <a:srgbClr val="D3D3D3"/>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233</xdr:col>
      <xdr:colOff>2</xdr:colOff>
      <xdr:row>17</xdr:row>
      <xdr:rowOff>38100</xdr:rowOff>
    </xdr:from>
    <xdr:to>
      <xdr:col>242</xdr:col>
      <xdr:colOff>4</xdr:colOff>
      <xdr:row>17</xdr:row>
      <xdr:rowOff>175260</xdr:rowOff>
    </xdr:to>
    <xdr:sp macro="" textlink="">
      <xdr:nvSpPr>
        <xdr:cNvPr id="2344" name="S_TE_E10i1">
          <a:extLst>
            <a:ext uri="{FF2B5EF4-FFF2-40B4-BE49-F238E27FC236}">
              <a16:creationId xmlns:a16="http://schemas.microsoft.com/office/drawing/2014/main" id="{00000000-0008-0000-0400-000028090000}"/>
            </a:ext>
          </a:extLst>
        </xdr:cNvPr>
        <xdr:cNvSpPr/>
      </xdr:nvSpPr>
      <xdr:spPr>
        <a:xfrm>
          <a:off x="56479442" y="2842260"/>
          <a:ext cx="2331722" cy="137160"/>
        </a:xfrm>
        <a:prstGeom prst="rect">
          <a:avLst/>
        </a:prstGeom>
        <a:solidFill>
          <a:srgbClr val="D3D3D3"/>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256</xdr:col>
      <xdr:colOff>259078</xdr:colOff>
      <xdr:row>17</xdr:row>
      <xdr:rowOff>38100</xdr:rowOff>
    </xdr:from>
    <xdr:to>
      <xdr:col>257</xdr:col>
      <xdr:colOff>259076</xdr:colOff>
      <xdr:row>17</xdr:row>
      <xdr:rowOff>175260</xdr:rowOff>
    </xdr:to>
    <xdr:sp macro="" textlink="">
      <xdr:nvSpPr>
        <xdr:cNvPr id="2345" name="S_TE_E10i2">
          <a:extLst>
            <a:ext uri="{FF2B5EF4-FFF2-40B4-BE49-F238E27FC236}">
              <a16:creationId xmlns:a16="http://schemas.microsoft.com/office/drawing/2014/main" id="{00000000-0008-0000-0400-000029090000}"/>
            </a:ext>
          </a:extLst>
        </xdr:cNvPr>
        <xdr:cNvSpPr/>
      </xdr:nvSpPr>
      <xdr:spPr>
        <a:xfrm>
          <a:off x="62697358" y="2842260"/>
          <a:ext cx="259078" cy="137160"/>
        </a:xfrm>
        <a:prstGeom prst="rect">
          <a:avLst/>
        </a:prstGeom>
        <a:solidFill>
          <a:srgbClr val="D3D3D3"/>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259</xdr:col>
      <xdr:colOff>1</xdr:colOff>
      <xdr:row>18</xdr:row>
      <xdr:rowOff>38100</xdr:rowOff>
    </xdr:from>
    <xdr:to>
      <xdr:col>295</xdr:col>
      <xdr:colOff>259079</xdr:colOff>
      <xdr:row>18</xdr:row>
      <xdr:rowOff>175260</xdr:rowOff>
    </xdr:to>
    <xdr:sp macro="" textlink="">
      <xdr:nvSpPr>
        <xdr:cNvPr id="2348" name="S_TH_11">
          <a:extLst>
            <a:ext uri="{FF2B5EF4-FFF2-40B4-BE49-F238E27FC236}">
              <a16:creationId xmlns:a16="http://schemas.microsoft.com/office/drawing/2014/main" id="{00000000-0008-0000-0400-00002C090000}"/>
            </a:ext>
          </a:extLst>
        </xdr:cNvPr>
        <xdr:cNvSpPr/>
      </xdr:nvSpPr>
      <xdr:spPr>
        <a:xfrm>
          <a:off x="63215521" y="3070860"/>
          <a:ext cx="9585958" cy="137160"/>
        </a:xfrm>
        <a:prstGeom prst="rect">
          <a:avLst/>
        </a:prstGeom>
        <a:solidFill>
          <a:srgbClr val="D3D3D3"/>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259</xdr:col>
      <xdr:colOff>1</xdr:colOff>
      <xdr:row>18</xdr:row>
      <xdr:rowOff>38100</xdr:rowOff>
    </xdr:from>
    <xdr:to>
      <xdr:col>265</xdr:col>
      <xdr:colOff>259079</xdr:colOff>
      <xdr:row>18</xdr:row>
      <xdr:rowOff>175260</xdr:rowOff>
    </xdr:to>
    <xdr:sp macro="" textlink="">
      <xdr:nvSpPr>
        <xdr:cNvPr id="2350" name="S_TE_E11i1">
          <a:extLst>
            <a:ext uri="{FF2B5EF4-FFF2-40B4-BE49-F238E27FC236}">
              <a16:creationId xmlns:a16="http://schemas.microsoft.com/office/drawing/2014/main" id="{00000000-0008-0000-0400-00002E090000}"/>
            </a:ext>
          </a:extLst>
        </xdr:cNvPr>
        <xdr:cNvSpPr/>
      </xdr:nvSpPr>
      <xdr:spPr>
        <a:xfrm>
          <a:off x="63215521" y="3070860"/>
          <a:ext cx="1813558" cy="137160"/>
        </a:xfrm>
        <a:prstGeom prst="rect">
          <a:avLst/>
        </a:prstGeom>
        <a:solidFill>
          <a:srgbClr val="D3D3D3"/>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280</xdr:col>
      <xdr:colOff>259079</xdr:colOff>
      <xdr:row>18</xdr:row>
      <xdr:rowOff>38100</xdr:rowOff>
    </xdr:from>
    <xdr:to>
      <xdr:col>290</xdr:col>
      <xdr:colOff>0</xdr:colOff>
      <xdr:row>18</xdr:row>
      <xdr:rowOff>175260</xdr:rowOff>
    </xdr:to>
    <xdr:sp macro="" textlink="">
      <xdr:nvSpPr>
        <xdr:cNvPr id="2351" name="S_TE_E11i2">
          <a:extLst>
            <a:ext uri="{FF2B5EF4-FFF2-40B4-BE49-F238E27FC236}">
              <a16:creationId xmlns:a16="http://schemas.microsoft.com/office/drawing/2014/main" id="{00000000-0008-0000-0400-00002F090000}"/>
            </a:ext>
          </a:extLst>
        </xdr:cNvPr>
        <xdr:cNvSpPr/>
      </xdr:nvSpPr>
      <xdr:spPr>
        <a:xfrm>
          <a:off x="68915279" y="3070860"/>
          <a:ext cx="2331721" cy="137160"/>
        </a:xfrm>
        <a:prstGeom prst="rect">
          <a:avLst/>
        </a:prstGeom>
        <a:solidFill>
          <a:srgbClr val="D3D3D3"/>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65</xdr:col>
      <xdr:colOff>0</xdr:colOff>
      <xdr:row>9</xdr:row>
      <xdr:rowOff>38100</xdr:rowOff>
    </xdr:from>
    <xdr:to>
      <xdr:col>156</xdr:col>
      <xdr:colOff>120903</xdr:colOff>
      <xdr:row>9</xdr:row>
      <xdr:rowOff>175260</xdr:rowOff>
    </xdr:to>
    <xdr:sp macro="" textlink="">
      <xdr:nvSpPr>
        <xdr:cNvPr id="2272" name="S_TP_4">
          <a:extLst>
            <a:ext uri="{FF2B5EF4-FFF2-40B4-BE49-F238E27FC236}">
              <a16:creationId xmlns:a16="http://schemas.microsoft.com/office/drawing/2014/main" id="{00000000-0008-0000-0400-0000E0080000}"/>
            </a:ext>
          </a:extLst>
        </xdr:cNvPr>
        <xdr:cNvSpPr/>
      </xdr:nvSpPr>
      <xdr:spPr>
        <a:xfrm>
          <a:off x="12954000" y="1013460"/>
          <a:ext cx="23697183" cy="137160"/>
        </a:xfrm>
        <a:prstGeom prst="leftRightArrow">
          <a:avLst/>
        </a:prstGeom>
        <a:solidFill>
          <a:srgbClr val="6DD9FF"/>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65</xdr:col>
      <xdr:colOff>0</xdr:colOff>
      <xdr:row>10</xdr:row>
      <xdr:rowOff>38100</xdr:rowOff>
    </xdr:from>
    <xdr:to>
      <xdr:col>70</xdr:col>
      <xdr:colOff>0</xdr:colOff>
      <xdr:row>10</xdr:row>
      <xdr:rowOff>175260</xdr:rowOff>
    </xdr:to>
    <xdr:sp macro="" textlink="">
      <xdr:nvSpPr>
        <xdr:cNvPr id="2311" name="S_TP_2">
          <a:extLst>
            <a:ext uri="{FF2B5EF4-FFF2-40B4-BE49-F238E27FC236}">
              <a16:creationId xmlns:a16="http://schemas.microsoft.com/office/drawing/2014/main" id="{00000000-0008-0000-0400-000007090000}"/>
            </a:ext>
          </a:extLst>
        </xdr:cNvPr>
        <xdr:cNvSpPr/>
      </xdr:nvSpPr>
      <xdr:spPr>
        <a:xfrm>
          <a:off x="12954000" y="1242060"/>
          <a:ext cx="1295400" cy="137160"/>
        </a:xfrm>
        <a:prstGeom prst="rect">
          <a:avLst/>
        </a:prstGeom>
        <a:solidFill>
          <a:srgbClr val="6DD9FF"/>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70</xdr:col>
      <xdr:colOff>0</xdr:colOff>
      <xdr:row>11</xdr:row>
      <xdr:rowOff>38100</xdr:rowOff>
    </xdr:from>
    <xdr:to>
      <xdr:col>74</xdr:col>
      <xdr:colOff>0</xdr:colOff>
      <xdr:row>11</xdr:row>
      <xdr:rowOff>175260</xdr:rowOff>
    </xdr:to>
    <xdr:sp macro="" textlink="">
      <xdr:nvSpPr>
        <xdr:cNvPr id="2317" name="S_TP_3i1">
          <a:extLst>
            <a:ext uri="{FF2B5EF4-FFF2-40B4-BE49-F238E27FC236}">
              <a16:creationId xmlns:a16="http://schemas.microsoft.com/office/drawing/2014/main" id="{00000000-0008-0000-0400-00000D090000}"/>
            </a:ext>
          </a:extLst>
        </xdr:cNvPr>
        <xdr:cNvSpPr/>
      </xdr:nvSpPr>
      <xdr:spPr>
        <a:xfrm>
          <a:off x="14249400" y="1470660"/>
          <a:ext cx="1036320" cy="137160"/>
        </a:xfrm>
        <a:prstGeom prst="rect">
          <a:avLst/>
        </a:prstGeom>
        <a:solidFill>
          <a:srgbClr val="6DD9FF"/>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89</xdr:col>
      <xdr:colOff>0</xdr:colOff>
      <xdr:row>11</xdr:row>
      <xdr:rowOff>38100</xdr:rowOff>
    </xdr:from>
    <xdr:to>
      <xdr:col>97</xdr:col>
      <xdr:colOff>259079</xdr:colOff>
      <xdr:row>11</xdr:row>
      <xdr:rowOff>175260</xdr:rowOff>
    </xdr:to>
    <xdr:sp macro="" textlink="">
      <xdr:nvSpPr>
        <xdr:cNvPr id="2318" name="S_TP_3i2">
          <a:extLst>
            <a:ext uri="{FF2B5EF4-FFF2-40B4-BE49-F238E27FC236}">
              <a16:creationId xmlns:a16="http://schemas.microsoft.com/office/drawing/2014/main" id="{00000000-0008-0000-0400-00000E090000}"/>
            </a:ext>
          </a:extLst>
        </xdr:cNvPr>
        <xdr:cNvSpPr/>
      </xdr:nvSpPr>
      <xdr:spPr>
        <a:xfrm>
          <a:off x="19171920" y="1470660"/>
          <a:ext cx="2331719" cy="137160"/>
        </a:xfrm>
        <a:prstGeom prst="rect">
          <a:avLst/>
        </a:prstGeom>
        <a:solidFill>
          <a:srgbClr val="6DD9FF"/>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112</xdr:col>
      <xdr:colOff>259079</xdr:colOff>
      <xdr:row>11</xdr:row>
      <xdr:rowOff>38100</xdr:rowOff>
    </xdr:from>
    <xdr:to>
      <xdr:col>117</xdr:col>
      <xdr:colOff>259079</xdr:colOff>
      <xdr:row>11</xdr:row>
      <xdr:rowOff>175260</xdr:rowOff>
    </xdr:to>
    <xdr:sp macro="" textlink="">
      <xdr:nvSpPr>
        <xdr:cNvPr id="2319" name="S_TP_3i3">
          <a:extLst>
            <a:ext uri="{FF2B5EF4-FFF2-40B4-BE49-F238E27FC236}">
              <a16:creationId xmlns:a16="http://schemas.microsoft.com/office/drawing/2014/main" id="{00000000-0008-0000-0400-00000F090000}"/>
            </a:ext>
          </a:extLst>
        </xdr:cNvPr>
        <xdr:cNvSpPr/>
      </xdr:nvSpPr>
      <xdr:spPr>
        <a:xfrm>
          <a:off x="25389839" y="1470660"/>
          <a:ext cx="1295400" cy="137160"/>
        </a:xfrm>
        <a:prstGeom prst="rect">
          <a:avLst/>
        </a:prstGeom>
        <a:solidFill>
          <a:srgbClr val="6DD9FF"/>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70</xdr:col>
      <xdr:colOff>0</xdr:colOff>
      <xdr:row>12</xdr:row>
      <xdr:rowOff>38100</xdr:rowOff>
    </xdr:from>
    <xdr:to>
      <xdr:col>74</xdr:col>
      <xdr:colOff>0</xdr:colOff>
      <xdr:row>12</xdr:row>
      <xdr:rowOff>175260</xdr:rowOff>
    </xdr:to>
    <xdr:sp macro="" textlink="">
      <xdr:nvSpPr>
        <xdr:cNvPr id="2325" name="S_TP_5i1">
          <a:extLst>
            <a:ext uri="{FF2B5EF4-FFF2-40B4-BE49-F238E27FC236}">
              <a16:creationId xmlns:a16="http://schemas.microsoft.com/office/drawing/2014/main" id="{00000000-0008-0000-0400-000015090000}"/>
            </a:ext>
          </a:extLst>
        </xdr:cNvPr>
        <xdr:cNvSpPr/>
      </xdr:nvSpPr>
      <xdr:spPr>
        <a:xfrm>
          <a:off x="14249400" y="1699260"/>
          <a:ext cx="1036320" cy="137160"/>
        </a:xfrm>
        <a:prstGeom prst="rect">
          <a:avLst/>
        </a:prstGeom>
        <a:solidFill>
          <a:srgbClr val="6DD9FF"/>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89</xdr:col>
      <xdr:colOff>0</xdr:colOff>
      <xdr:row>12</xdr:row>
      <xdr:rowOff>38100</xdr:rowOff>
    </xdr:from>
    <xdr:to>
      <xdr:col>97</xdr:col>
      <xdr:colOff>259079</xdr:colOff>
      <xdr:row>12</xdr:row>
      <xdr:rowOff>175260</xdr:rowOff>
    </xdr:to>
    <xdr:sp macro="" textlink="">
      <xdr:nvSpPr>
        <xdr:cNvPr id="2326" name="S_TP_5i2">
          <a:extLst>
            <a:ext uri="{FF2B5EF4-FFF2-40B4-BE49-F238E27FC236}">
              <a16:creationId xmlns:a16="http://schemas.microsoft.com/office/drawing/2014/main" id="{00000000-0008-0000-0400-000016090000}"/>
            </a:ext>
          </a:extLst>
        </xdr:cNvPr>
        <xdr:cNvSpPr/>
      </xdr:nvSpPr>
      <xdr:spPr>
        <a:xfrm>
          <a:off x="19171920" y="1699260"/>
          <a:ext cx="2331719" cy="137160"/>
        </a:xfrm>
        <a:prstGeom prst="rect">
          <a:avLst/>
        </a:prstGeom>
        <a:solidFill>
          <a:srgbClr val="6DD9FF"/>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112</xdr:col>
      <xdr:colOff>259079</xdr:colOff>
      <xdr:row>12</xdr:row>
      <xdr:rowOff>38100</xdr:rowOff>
    </xdr:from>
    <xdr:to>
      <xdr:col>117</xdr:col>
      <xdr:colOff>259079</xdr:colOff>
      <xdr:row>12</xdr:row>
      <xdr:rowOff>175260</xdr:rowOff>
    </xdr:to>
    <xdr:sp macro="" textlink="">
      <xdr:nvSpPr>
        <xdr:cNvPr id="2327" name="S_TP_5i3">
          <a:extLst>
            <a:ext uri="{FF2B5EF4-FFF2-40B4-BE49-F238E27FC236}">
              <a16:creationId xmlns:a16="http://schemas.microsoft.com/office/drawing/2014/main" id="{00000000-0008-0000-0400-000017090000}"/>
            </a:ext>
          </a:extLst>
        </xdr:cNvPr>
        <xdr:cNvSpPr/>
      </xdr:nvSpPr>
      <xdr:spPr>
        <a:xfrm>
          <a:off x="25389839" y="1699260"/>
          <a:ext cx="1295400" cy="137160"/>
        </a:xfrm>
        <a:prstGeom prst="rect">
          <a:avLst/>
        </a:prstGeom>
        <a:solidFill>
          <a:srgbClr val="6DD9FF"/>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117</xdr:col>
      <xdr:colOff>259079</xdr:colOff>
      <xdr:row>13</xdr:row>
      <xdr:rowOff>38100</xdr:rowOff>
    </xdr:from>
    <xdr:to>
      <xdr:col>120</xdr:col>
      <xdr:colOff>259079</xdr:colOff>
      <xdr:row>13</xdr:row>
      <xdr:rowOff>175260</xdr:rowOff>
    </xdr:to>
    <xdr:sp macro="" textlink="">
      <xdr:nvSpPr>
        <xdr:cNvPr id="2331" name="S_TP_6">
          <a:extLst>
            <a:ext uri="{FF2B5EF4-FFF2-40B4-BE49-F238E27FC236}">
              <a16:creationId xmlns:a16="http://schemas.microsoft.com/office/drawing/2014/main" id="{00000000-0008-0000-0400-00001B090000}"/>
            </a:ext>
          </a:extLst>
        </xdr:cNvPr>
        <xdr:cNvSpPr/>
      </xdr:nvSpPr>
      <xdr:spPr>
        <a:xfrm>
          <a:off x="26685239" y="1927860"/>
          <a:ext cx="777240" cy="137160"/>
        </a:xfrm>
        <a:prstGeom prst="rect">
          <a:avLst/>
        </a:prstGeom>
        <a:solidFill>
          <a:srgbClr val="6DD9FF"/>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137</xdr:col>
      <xdr:colOff>1</xdr:colOff>
      <xdr:row>14</xdr:row>
      <xdr:rowOff>38100</xdr:rowOff>
    </xdr:from>
    <xdr:to>
      <xdr:col>140</xdr:col>
      <xdr:colOff>0</xdr:colOff>
      <xdr:row>14</xdr:row>
      <xdr:rowOff>175260</xdr:rowOff>
    </xdr:to>
    <xdr:sp macro="" textlink="">
      <xdr:nvSpPr>
        <xdr:cNvPr id="2335" name="S_TP_7">
          <a:extLst>
            <a:ext uri="{FF2B5EF4-FFF2-40B4-BE49-F238E27FC236}">
              <a16:creationId xmlns:a16="http://schemas.microsoft.com/office/drawing/2014/main" id="{00000000-0008-0000-0400-00001F090000}"/>
            </a:ext>
          </a:extLst>
        </xdr:cNvPr>
        <xdr:cNvSpPr/>
      </xdr:nvSpPr>
      <xdr:spPr>
        <a:xfrm>
          <a:off x="31607761" y="2156460"/>
          <a:ext cx="777239" cy="137160"/>
        </a:xfrm>
        <a:prstGeom prst="rect">
          <a:avLst/>
        </a:prstGeom>
        <a:solidFill>
          <a:srgbClr val="808080"/>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160</xdr:col>
      <xdr:colOff>259079</xdr:colOff>
      <xdr:row>15</xdr:row>
      <xdr:rowOff>38100</xdr:rowOff>
    </xdr:from>
    <xdr:to>
      <xdr:col>162</xdr:col>
      <xdr:colOff>259079</xdr:colOff>
      <xdr:row>15</xdr:row>
      <xdr:rowOff>175260</xdr:rowOff>
    </xdr:to>
    <xdr:sp macro="" textlink="">
      <xdr:nvSpPr>
        <xdr:cNvPr id="2339" name="S_TP_8">
          <a:extLst>
            <a:ext uri="{FF2B5EF4-FFF2-40B4-BE49-F238E27FC236}">
              <a16:creationId xmlns:a16="http://schemas.microsoft.com/office/drawing/2014/main" id="{00000000-0008-0000-0400-000023090000}"/>
            </a:ext>
          </a:extLst>
        </xdr:cNvPr>
        <xdr:cNvSpPr/>
      </xdr:nvSpPr>
      <xdr:spPr>
        <a:xfrm>
          <a:off x="37825679" y="2385060"/>
          <a:ext cx="518160" cy="137160"/>
        </a:xfrm>
        <a:prstGeom prst="rect">
          <a:avLst/>
        </a:prstGeom>
        <a:solidFill>
          <a:srgbClr val="808080"/>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233</xdr:col>
      <xdr:colOff>2</xdr:colOff>
      <xdr:row>16</xdr:row>
      <xdr:rowOff>38100</xdr:rowOff>
    </xdr:from>
    <xdr:to>
      <xdr:col>296</xdr:col>
      <xdr:colOff>5</xdr:colOff>
      <xdr:row>16</xdr:row>
      <xdr:rowOff>175260</xdr:rowOff>
    </xdr:to>
    <xdr:sp macro="" textlink="">
      <xdr:nvSpPr>
        <xdr:cNvPr id="2341" name="S_TP_9">
          <a:extLst>
            <a:ext uri="{FF2B5EF4-FFF2-40B4-BE49-F238E27FC236}">
              <a16:creationId xmlns:a16="http://schemas.microsoft.com/office/drawing/2014/main" id="{00000000-0008-0000-0400-000025090000}"/>
            </a:ext>
          </a:extLst>
        </xdr:cNvPr>
        <xdr:cNvSpPr/>
      </xdr:nvSpPr>
      <xdr:spPr>
        <a:xfrm>
          <a:off x="56479442" y="2613660"/>
          <a:ext cx="16322043" cy="137160"/>
        </a:xfrm>
        <a:prstGeom prst="leftRightArrow">
          <a:avLst/>
        </a:prstGeom>
        <a:solidFill>
          <a:srgbClr val="808080"/>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233</xdr:col>
      <xdr:colOff>2</xdr:colOff>
      <xdr:row>17</xdr:row>
      <xdr:rowOff>38100</xdr:rowOff>
    </xdr:from>
    <xdr:to>
      <xdr:col>242</xdr:col>
      <xdr:colOff>4</xdr:colOff>
      <xdr:row>17</xdr:row>
      <xdr:rowOff>175260</xdr:rowOff>
    </xdr:to>
    <xdr:sp macro="" textlink="">
      <xdr:nvSpPr>
        <xdr:cNvPr id="2346" name="S_TP_10i1">
          <a:extLst>
            <a:ext uri="{FF2B5EF4-FFF2-40B4-BE49-F238E27FC236}">
              <a16:creationId xmlns:a16="http://schemas.microsoft.com/office/drawing/2014/main" id="{00000000-0008-0000-0400-00002A090000}"/>
            </a:ext>
          </a:extLst>
        </xdr:cNvPr>
        <xdr:cNvSpPr/>
      </xdr:nvSpPr>
      <xdr:spPr>
        <a:xfrm>
          <a:off x="56479442" y="2842260"/>
          <a:ext cx="2331722" cy="137160"/>
        </a:xfrm>
        <a:prstGeom prst="rect">
          <a:avLst/>
        </a:prstGeom>
        <a:solidFill>
          <a:srgbClr val="808080"/>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256</xdr:col>
      <xdr:colOff>259078</xdr:colOff>
      <xdr:row>17</xdr:row>
      <xdr:rowOff>38100</xdr:rowOff>
    </xdr:from>
    <xdr:to>
      <xdr:col>257</xdr:col>
      <xdr:colOff>259076</xdr:colOff>
      <xdr:row>17</xdr:row>
      <xdr:rowOff>175260</xdr:rowOff>
    </xdr:to>
    <xdr:sp macro="" textlink="">
      <xdr:nvSpPr>
        <xdr:cNvPr id="2347" name="S_TP_10i2">
          <a:extLst>
            <a:ext uri="{FF2B5EF4-FFF2-40B4-BE49-F238E27FC236}">
              <a16:creationId xmlns:a16="http://schemas.microsoft.com/office/drawing/2014/main" id="{00000000-0008-0000-0400-00002B090000}"/>
            </a:ext>
          </a:extLst>
        </xdr:cNvPr>
        <xdr:cNvSpPr/>
      </xdr:nvSpPr>
      <xdr:spPr>
        <a:xfrm>
          <a:off x="62697358" y="2842260"/>
          <a:ext cx="259078" cy="137160"/>
        </a:xfrm>
        <a:prstGeom prst="rect">
          <a:avLst/>
        </a:prstGeom>
        <a:solidFill>
          <a:srgbClr val="808080"/>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259</xdr:col>
      <xdr:colOff>1</xdr:colOff>
      <xdr:row>18</xdr:row>
      <xdr:rowOff>38100</xdr:rowOff>
    </xdr:from>
    <xdr:to>
      <xdr:col>265</xdr:col>
      <xdr:colOff>259079</xdr:colOff>
      <xdr:row>18</xdr:row>
      <xdr:rowOff>175260</xdr:rowOff>
    </xdr:to>
    <xdr:sp macro="" textlink="">
      <xdr:nvSpPr>
        <xdr:cNvPr id="2352" name="S_TP_11i1">
          <a:extLst>
            <a:ext uri="{FF2B5EF4-FFF2-40B4-BE49-F238E27FC236}">
              <a16:creationId xmlns:a16="http://schemas.microsoft.com/office/drawing/2014/main" id="{00000000-0008-0000-0400-000030090000}"/>
            </a:ext>
          </a:extLst>
        </xdr:cNvPr>
        <xdr:cNvSpPr/>
      </xdr:nvSpPr>
      <xdr:spPr>
        <a:xfrm>
          <a:off x="63215521" y="3070860"/>
          <a:ext cx="1813558" cy="137160"/>
        </a:xfrm>
        <a:prstGeom prst="rect">
          <a:avLst/>
        </a:prstGeom>
        <a:solidFill>
          <a:srgbClr val="808080"/>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280</xdr:col>
      <xdr:colOff>259079</xdr:colOff>
      <xdr:row>18</xdr:row>
      <xdr:rowOff>38100</xdr:rowOff>
    </xdr:from>
    <xdr:to>
      <xdr:col>290</xdr:col>
      <xdr:colOff>0</xdr:colOff>
      <xdr:row>18</xdr:row>
      <xdr:rowOff>175260</xdr:rowOff>
    </xdr:to>
    <xdr:sp macro="" textlink="">
      <xdr:nvSpPr>
        <xdr:cNvPr id="2353" name="S_TP_11i2">
          <a:extLst>
            <a:ext uri="{FF2B5EF4-FFF2-40B4-BE49-F238E27FC236}">
              <a16:creationId xmlns:a16="http://schemas.microsoft.com/office/drawing/2014/main" id="{00000000-0008-0000-0400-000031090000}"/>
            </a:ext>
          </a:extLst>
        </xdr:cNvPr>
        <xdr:cNvSpPr/>
      </xdr:nvSpPr>
      <xdr:spPr>
        <a:xfrm>
          <a:off x="68915279" y="3070860"/>
          <a:ext cx="2331721" cy="137160"/>
        </a:xfrm>
        <a:prstGeom prst="rect">
          <a:avLst/>
        </a:prstGeom>
        <a:solidFill>
          <a:srgbClr val="808080"/>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65</xdr:col>
      <xdr:colOff>0</xdr:colOff>
      <xdr:row>10</xdr:row>
      <xdr:rowOff>38100</xdr:rowOff>
    </xdr:from>
    <xdr:to>
      <xdr:col>79</xdr:col>
      <xdr:colOff>182880</xdr:colOff>
      <xdr:row>10</xdr:row>
      <xdr:rowOff>175260</xdr:rowOff>
    </xdr:to>
    <xdr:sp macro="" textlink="">
      <xdr:nvSpPr>
        <xdr:cNvPr id="2274" name="S_TGB_2">
          <a:extLst>
            <a:ext uri="{FF2B5EF4-FFF2-40B4-BE49-F238E27FC236}">
              <a16:creationId xmlns:a16="http://schemas.microsoft.com/office/drawing/2014/main" id="{00000000-0008-0000-0400-0000E2080000}"/>
            </a:ext>
          </a:extLst>
        </xdr:cNvPr>
        <xdr:cNvSpPr/>
      </xdr:nvSpPr>
      <xdr:spPr>
        <a:xfrm>
          <a:off x="12954000" y="1242060"/>
          <a:ext cx="3810000" cy="137160"/>
        </a:xfrm>
        <a:prstGeom prst="rect">
          <a:avLst/>
        </a:prstGeom>
        <a:noFill/>
        <a:ln w="1270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900" b="1">
              <a:solidFill>
                <a:srgbClr val="262626"/>
              </a:solidFill>
            </a:rPr>
            <a:t>Đánh giá &amp; Khuyến ng</a:t>
          </a:r>
        </a:p>
      </xdr:txBody>
    </xdr:sp>
    <xdr:clientData/>
  </xdr:twoCellAnchor>
  <xdr:twoCellAnchor>
    <xdr:from>
      <xdr:col>70</xdr:col>
      <xdr:colOff>0</xdr:colOff>
      <xdr:row>11</xdr:row>
      <xdr:rowOff>38100</xdr:rowOff>
    </xdr:from>
    <xdr:to>
      <xdr:col>84</xdr:col>
      <xdr:colOff>182880</xdr:colOff>
      <xdr:row>11</xdr:row>
      <xdr:rowOff>175260</xdr:rowOff>
    </xdr:to>
    <xdr:sp macro="" textlink="">
      <xdr:nvSpPr>
        <xdr:cNvPr id="2313" name="S_TGB_3">
          <a:extLst>
            <a:ext uri="{FF2B5EF4-FFF2-40B4-BE49-F238E27FC236}">
              <a16:creationId xmlns:a16="http://schemas.microsoft.com/office/drawing/2014/main" id="{00000000-0008-0000-0400-000009090000}"/>
            </a:ext>
          </a:extLst>
        </xdr:cNvPr>
        <xdr:cNvSpPr/>
      </xdr:nvSpPr>
      <xdr:spPr>
        <a:xfrm>
          <a:off x="14249400" y="1470660"/>
          <a:ext cx="3810000" cy="137160"/>
        </a:xfrm>
        <a:prstGeom prst="rect">
          <a:avLst/>
        </a:prstGeom>
        <a:noFill/>
        <a:ln w="1270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900" b="1">
              <a:solidFill>
                <a:srgbClr val="262626"/>
              </a:solidFill>
            </a:rPr>
            <a:t>Phát triển các điều </a:t>
          </a:r>
        </a:p>
      </xdr:txBody>
    </xdr:sp>
    <xdr:clientData/>
  </xdr:twoCellAnchor>
  <xdr:twoCellAnchor>
    <xdr:from>
      <xdr:col>70</xdr:col>
      <xdr:colOff>0</xdr:colOff>
      <xdr:row>12</xdr:row>
      <xdr:rowOff>38100</xdr:rowOff>
    </xdr:from>
    <xdr:to>
      <xdr:col>84</xdr:col>
      <xdr:colOff>182880</xdr:colOff>
      <xdr:row>12</xdr:row>
      <xdr:rowOff>175260</xdr:rowOff>
    </xdr:to>
    <xdr:sp macro="" textlink="">
      <xdr:nvSpPr>
        <xdr:cNvPr id="2321" name="S_TGB_5">
          <a:extLst>
            <a:ext uri="{FF2B5EF4-FFF2-40B4-BE49-F238E27FC236}">
              <a16:creationId xmlns:a16="http://schemas.microsoft.com/office/drawing/2014/main" id="{00000000-0008-0000-0400-000011090000}"/>
            </a:ext>
          </a:extLst>
        </xdr:cNvPr>
        <xdr:cNvSpPr/>
      </xdr:nvSpPr>
      <xdr:spPr>
        <a:xfrm>
          <a:off x="14249400" y="1699260"/>
          <a:ext cx="3810000" cy="137160"/>
        </a:xfrm>
        <a:prstGeom prst="rect">
          <a:avLst/>
        </a:prstGeom>
        <a:noFill/>
        <a:ln w="1270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vi-VN" sz="900" b="1">
              <a:solidFill>
                <a:srgbClr val="262626"/>
              </a:solidFill>
            </a:rPr>
            <a:t>Phát triển các trườn</a:t>
          </a:r>
          <a:endParaRPr lang="en-US" sz="900" b="1">
            <a:solidFill>
              <a:srgbClr val="262626"/>
            </a:solidFill>
          </a:endParaRPr>
        </a:p>
      </xdr:txBody>
    </xdr:sp>
    <xdr:clientData/>
  </xdr:twoCellAnchor>
  <xdr:twoCellAnchor>
    <xdr:from>
      <xdr:col>117</xdr:col>
      <xdr:colOff>259079</xdr:colOff>
      <xdr:row>13</xdr:row>
      <xdr:rowOff>38100</xdr:rowOff>
    </xdr:from>
    <xdr:to>
      <xdr:col>132</xdr:col>
      <xdr:colOff>182879</xdr:colOff>
      <xdr:row>13</xdr:row>
      <xdr:rowOff>175260</xdr:rowOff>
    </xdr:to>
    <xdr:sp macro="" textlink="">
      <xdr:nvSpPr>
        <xdr:cNvPr id="2329" name="S_TGB_6">
          <a:extLst>
            <a:ext uri="{FF2B5EF4-FFF2-40B4-BE49-F238E27FC236}">
              <a16:creationId xmlns:a16="http://schemas.microsoft.com/office/drawing/2014/main" id="{00000000-0008-0000-0400-000019090000}"/>
            </a:ext>
          </a:extLst>
        </xdr:cNvPr>
        <xdr:cNvSpPr/>
      </xdr:nvSpPr>
      <xdr:spPr>
        <a:xfrm>
          <a:off x="26685239" y="1927860"/>
          <a:ext cx="3810000" cy="137160"/>
        </a:xfrm>
        <a:prstGeom prst="rect">
          <a:avLst/>
        </a:prstGeom>
        <a:noFill/>
        <a:ln w="1270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900" b="1">
              <a:solidFill>
                <a:srgbClr val="262626"/>
              </a:solidFill>
            </a:rPr>
            <a:t>Gửi Điều lệ Dự án, G</a:t>
          </a:r>
        </a:p>
      </xdr:txBody>
    </xdr:sp>
    <xdr:clientData/>
  </xdr:twoCellAnchor>
  <xdr:twoCellAnchor>
    <xdr:from>
      <xdr:col>137</xdr:col>
      <xdr:colOff>1</xdr:colOff>
      <xdr:row>14</xdr:row>
      <xdr:rowOff>38100</xdr:rowOff>
    </xdr:from>
    <xdr:to>
      <xdr:col>151</xdr:col>
      <xdr:colOff>182881</xdr:colOff>
      <xdr:row>14</xdr:row>
      <xdr:rowOff>175260</xdr:rowOff>
    </xdr:to>
    <xdr:sp macro="" textlink="">
      <xdr:nvSpPr>
        <xdr:cNvPr id="2333" name="S_TGB_7">
          <a:extLst>
            <a:ext uri="{FF2B5EF4-FFF2-40B4-BE49-F238E27FC236}">
              <a16:creationId xmlns:a16="http://schemas.microsoft.com/office/drawing/2014/main" id="{00000000-0008-0000-0400-00001D090000}"/>
            </a:ext>
          </a:extLst>
        </xdr:cNvPr>
        <xdr:cNvSpPr/>
      </xdr:nvSpPr>
      <xdr:spPr>
        <a:xfrm>
          <a:off x="31607761" y="2156460"/>
          <a:ext cx="3810000" cy="137160"/>
        </a:xfrm>
        <a:prstGeom prst="rect">
          <a:avLst/>
        </a:prstGeom>
        <a:noFill/>
        <a:ln w="1270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900" b="1">
              <a:solidFill>
                <a:srgbClr val="262626"/>
              </a:solidFill>
            </a:rPr>
            <a:t>Nhà tài trợ dự án Đá</a:t>
          </a:r>
        </a:p>
      </xdr:txBody>
    </xdr:sp>
    <xdr:clientData/>
  </xdr:twoCellAnchor>
  <xdr:twoCellAnchor>
    <xdr:from>
      <xdr:col>160</xdr:col>
      <xdr:colOff>259079</xdr:colOff>
      <xdr:row>15</xdr:row>
      <xdr:rowOff>38100</xdr:rowOff>
    </xdr:from>
    <xdr:to>
      <xdr:col>175</xdr:col>
      <xdr:colOff>182879</xdr:colOff>
      <xdr:row>15</xdr:row>
      <xdr:rowOff>175260</xdr:rowOff>
    </xdr:to>
    <xdr:sp macro="" textlink="">
      <xdr:nvSpPr>
        <xdr:cNvPr id="2337" name="S_TGB_8">
          <a:extLst>
            <a:ext uri="{FF2B5EF4-FFF2-40B4-BE49-F238E27FC236}">
              <a16:creationId xmlns:a16="http://schemas.microsoft.com/office/drawing/2014/main" id="{00000000-0008-0000-0400-000021090000}"/>
            </a:ext>
          </a:extLst>
        </xdr:cNvPr>
        <xdr:cNvSpPr/>
      </xdr:nvSpPr>
      <xdr:spPr>
        <a:xfrm>
          <a:off x="37825679" y="2385060"/>
          <a:ext cx="3810000" cy="137160"/>
        </a:xfrm>
        <a:prstGeom prst="rect">
          <a:avLst/>
        </a:prstGeom>
        <a:noFill/>
        <a:ln w="1270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900" b="1">
              <a:solidFill>
                <a:srgbClr val="262626"/>
              </a:solidFill>
            </a:rPr>
            <a:t>Điều lệ dự án Đã ký </a:t>
          </a:r>
        </a:p>
      </xdr:txBody>
    </xdr:sp>
    <xdr:clientData/>
  </xdr:twoCellAnchor>
  <xdr:twoCellAnchor>
    <xdr:from>
      <xdr:col>233</xdr:col>
      <xdr:colOff>2</xdr:colOff>
      <xdr:row>17</xdr:row>
      <xdr:rowOff>38100</xdr:rowOff>
    </xdr:from>
    <xdr:to>
      <xdr:col>247</xdr:col>
      <xdr:colOff>182882</xdr:colOff>
      <xdr:row>17</xdr:row>
      <xdr:rowOff>175260</xdr:rowOff>
    </xdr:to>
    <xdr:sp macro="" textlink="">
      <xdr:nvSpPr>
        <xdr:cNvPr id="2343" name="S_TGB_10">
          <a:extLst>
            <a:ext uri="{FF2B5EF4-FFF2-40B4-BE49-F238E27FC236}">
              <a16:creationId xmlns:a16="http://schemas.microsoft.com/office/drawing/2014/main" id="{00000000-0008-0000-0400-000027090000}"/>
            </a:ext>
          </a:extLst>
        </xdr:cNvPr>
        <xdr:cNvSpPr/>
      </xdr:nvSpPr>
      <xdr:spPr>
        <a:xfrm>
          <a:off x="56479442" y="2842260"/>
          <a:ext cx="3810000" cy="137160"/>
        </a:xfrm>
        <a:prstGeom prst="rect">
          <a:avLst/>
        </a:prstGeom>
        <a:noFill/>
        <a:ln w="1270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900" b="1">
              <a:solidFill>
                <a:srgbClr val="262626"/>
              </a:solidFill>
            </a:rPr>
            <a:t>Tạo Tuyên bố Phạm vi</a:t>
          </a:r>
        </a:p>
      </xdr:txBody>
    </xdr:sp>
    <xdr:clientData/>
  </xdr:twoCellAnchor>
  <xdr:twoCellAnchor>
    <xdr:from>
      <xdr:col>259</xdr:col>
      <xdr:colOff>1</xdr:colOff>
      <xdr:row>18</xdr:row>
      <xdr:rowOff>38100</xdr:rowOff>
    </xdr:from>
    <xdr:to>
      <xdr:col>273</xdr:col>
      <xdr:colOff>182881</xdr:colOff>
      <xdr:row>18</xdr:row>
      <xdr:rowOff>175260</xdr:rowOff>
    </xdr:to>
    <xdr:sp macro="" textlink="">
      <xdr:nvSpPr>
        <xdr:cNvPr id="2349" name="S_TGB_11">
          <a:extLst>
            <a:ext uri="{FF2B5EF4-FFF2-40B4-BE49-F238E27FC236}">
              <a16:creationId xmlns:a16="http://schemas.microsoft.com/office/drawing/2014/main" id="{00000000-0008-0000-0400-00002D090000}"/>
            </a:ext>
          </a:extLst>
        </xdr:cNvPr>
        <xdr:cNvSpPr/>
      </xdr:nvSpPr>
      <xdr:spPr>
        <a:xfrm>
          <a:off x="63215521" y="3070860"/>
          <a:ext cx="3810000" cy="137160"/>
        </a:xfrm>
        <a:prstGeom prst="rect">
          <a:avLst/>
        </a:prstGeom>
        <a:noFill/>
        <a:ln w="1270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900" b="1">
              <a:solidFill>
                <a:srgbClr val="262626"/>
              </a:solidFill>
            </a:rPr>
            <a:t>Xác định nhóm dự án</a:t>
          </a:r>
        </a:p>
      </xdr:txBody>
    </xdr:sp>
    <xdr:clientData/>
  </xdr:twoCellAnchor>
  <xdr:twoCellAnchor>
    <xdr:from>
      <xdr:col>24</xdr:col>
      <xdr:colOff>0</xdr:colOff>
      <xdr:row>9</xdr:row>
      <xdr:rowOff>50800</xdr:rowOff>
    </xdr:from>
    <xdr:to>
      <xdr:col>61</xdr:col>
      <xdr:colOff>251460</xdr:colOff>
      <xdr:row>10</xdr:row>
      <xdr:rowOff>203200</xdr:rowOff>
    </xdr:to>
    <xdr:sp macro="mRefreshGC" textlink="">
      <xdr:nvSpPr>
        <xdr:cNvPr id="2" name="refreshButton">
          <a:extLst>
            <a:ext uri="{FF2B5EF4-FFF2-40B4-BE49-F238E27FC236}">
              <a16:creationId xmlns:a16="http://schemas.microsoft.com/office/drawing/2014/main" id="{00000000-0008-0000-0400-000002000000}"/>
            </a:ext>
          </a:extLst>
        </xdr:cNvPr>
        <xdr:cNvSpPr/>
      </xdr:nvSpPr>
      <xdr:spPr>
        <a:xfrm>
          <a:off x="11628120" y="1010920"/>
          <a:ext cx="1905000" cy="381000"/>
        </a:xfrm>
        <a:prstGeom prst="roundRect">
          <a:avLst/>
        </a:prstGeom>
        <a:solidFill>
          <a:srgbClr val="FF0000"/>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vi-VN" sz="1400">
              <a:solidFill>
                <a:srgbClr val="FFFFFF"/>
              </a:solidFill>
            </a:rPr>
            <a:t>Refresh Project</a:t>
          </a:r>
        </a:p>
      </xdr:txBody>
    </xdr:sp>
    <xdr:clientData/>
  </xdr:twoCellAnchor>
  <xdr:twoCellAnchor>
    <xdr:from>
      <xdr:col>10</xdr:col>
      <xdr:colOff>1012371</xdr:colOff>
      <xdr:row>28</xdr:row>
      <xdr:rowOff>116115</xdr:rowOff>
    </xdr:from>
    <xdr:to>
      <xdr:col>18</xdr:col>
      <xdr:colOff>597262</xdr:colOff>
      <xdr:row>35</xdr:row>
      <xdr:rowOff>166915</xdr:rowOff>
    </xdr:to>
    <xdr:sp macro="" textlink="">
      <xdr:nvSpPr>
        <xdr:cNvPr id="3" name="SMacros">
          <a:extLst>
            <a:ext uri="{FF2B5EF4-FFF2-40B4-BE49-F238E27FC236}">
              <a16:creationId xmlns:a16="http://schemas.microsoft.com/office/drawing/2014/main" id="{00000000-0008-0000-0400-000003000000}"/>
            </a:ext>
          </a:extLst>
        </xdr:cNvPr>
        <xdr:cNvSpPr/>
      </xdr:nvSpPr>
      <xdr:spPr>
        <a:xfrm>
          <a:off x="1774371" y="5221515"/>
          <a:ext cx="5082177" cy="1270000"/>
        </a:xfrm>
        <a:prstGeom prst="round2SameRect">
          <a:avLst/>
        </a:prstGeom>
        <a:solidFill>
          <a:srgbClr val="FF0000"/>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vi-VN" sz="1400">
              <a:solidFill>
                <a:srgbClr val="FFFFFF"/>
              </a:solidFill>
            </a:rPr>
            <a:t>Automation Off - Enable Macros to Continue</a:t>
          </a:r>
        </a:p>
      </xdr:txBody>
    </xdr:sp>
    <xdr:clientData/>
  </xdr:twoCellAnchor>
</xdr:wsDr>
</file>

<file path=xl/drawings/drawing6.xml><?xml version="1.0" encoding="utf-8"?>
<xdr:wsDr xmlns:xdr="http://schemas.openxmlformats.org/drawingml/2006/spreadsheetDrawing" xmlns:a="http://schemas.openxmlformats.org/drawingml/2006/main">
  <xdr:oneCellAnchor>
    <xdr:from>
      <xdr:col>2</xdr:col>
      <xdr:colOff>111518</xdr:colOff>
      <xdr:row>2</xdr:row>
      <xdr:rowOff>57150</xdr:rowOff>
    </xdr:from>
    <xdr:ext cx="1668981" cy="942975"/>
    <xdr:pic>
      <xdr:nvPicPr>
        <xdr:cNvPr id="2" name="Picture 1">
          <a:hlinkClick xmlns:r="http://schemas.openxmlformats.org/officeDocument/2006/relationships" r:id="rId1"/>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2"/>
        <a:srcRect/>
        <a:stretch/>
      </xdr:blipFill>
      <xdr:spPr>
        <a:xfrm>
          <a:off x="178193" y="123825"/>
          <a:ext cx="1668981" cy="942975"/>
        </a:xfrm>
        <a:prstGeom prst="rect">
          <a:avLst/>
        </a:prstGeom>
      </xdr:spPr>
    </xdr:pic>
    <xdr:clientData/>
  </xdr:oneCellAnchor>
  <xdr:twoCellAnchor editAs="oneCell">
    <xdr:from>
      <xdr:col>4</xdr:col>
      <xdr:colOff>28575</xdr:colOff>
      <xdr:row>13</xdr:row>
      <xdr:rowOff>180975</xdr:rowOff>
    </xdr:from>
    <xdr:to>
      <xdr:col>20</xdr:col>
      <xdr:colOff>9525</xdr:colOff>
      <xdr:row>20</xdr:row>
      <xdr:rowOff>47625</xdr:rowOff>
    </xdr:to>
    <xdr:pic>
      <xdr:nvPicPr>
        <xdr:cNvPr id="5" name="Picture 4">
          <a:extLst>
            <a:ext uri="{FF2B5EF4-FFF2-40B4-BE49-F238E27FC236}">
              <a16:creationId xmlns:a16="http://schemas.microsoft.com/office/drawing/2014/main" id="{00000000-0008-0000-0500-000005000000}"/>
            </a:ext>
          </a:extLst>
        </xdr:cNvPr>
        <xdr:cNvPicPr>
          <a:picLocks noChangeAspect="1"/>
        </xdr:cNvPicPr>
      </xdr:nvPicPr>
      <xdr:blipFill>
        <a:blip xmlns:r="http://schemas.openxmlformats.org/officeDocument/2006/relationships" r:embed="rId3"/>
        <a:stretch>
          <a:fillRect/>
        </a:stretch>
      </xdr:blipFill>
      <xdr:spPr>
        <a:xfrm>
          <a:off x="600075" y="2143125"/>
          <a:ext cx="9686925" cy="12001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1</xdr:col>
      <xdr:colOff>85725</xdr:colOff>
      <xdr:row>7</xdr:row>
      <xdr:rowOff>161925</xdr:rowOff>
    </xdr:from>
    <xdr:to>
      <xdr:col>9</xdr:col>
      <xdr:colOff>533400</xdr:colOff>
      <xdr:row>16</xdr:row>
      <xdr:rowOff>19050</xdr:rowOff>
    </xdr:to>
    <xdr:sp macro="" textlink="">
      <xdr:nvSpPr>
        <xdr:cNvPr id="2" name="Notice1">
          <a:extLst>
            <a:ext uri="{FF2B5EF4-FFF2-40B4-BE49-F238E27FC236}">
              <a16:creationId xmlns:a16="http://schemas.microsoft.com/office/drawing/2014/main" id="{00000000-0008-0000-0600-000002000000}"/>
            </a:ext>
          </a:extLst>
        </xdr:cNvPr>
        <xdr:cNvSpPr/>
      </xdr:nvSpPr>
      <xdr:spPr>
        <a:xfrm>
          <a:off x="695325" y="1495425"/>
          <a:ext cx="5324475" cy="1571625"/>
        </a:xfrm>
        <a:prstGeom prst="rect">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solidFill>
                <a:srgbClr val="FF0000"/>
              </a:solidFill>
            </a:rPr>
            <a:t>Please </a:t>
          </a:r>
          <a:r>
            <a:rPr lang="en-US" sz="2400" b="1">
              <a:solidFill>
                <a:srgbClr val="FF0000"/>
              </a:solidFill>
            </a:rPr>
            <a:t>DO</a:t>
          </a:r>
          <a:r>
            <a:rPr lang="en-US" sz="2400" b="1" baseline="0">
              <a:solidFill>
                <a:srgbClr val="FF0000"/>
              </a:solidFill>
            </a:rPr>
            <a:t> NOT </a:t>
          </a:r>
          <a:r>
            <a:rPr lang="en-US" sz="2400" baseline="0">
              <a:solidFill>
                <a:srgbClr val="FF0000"/>
              </a:solidFill>
            </a:rPr>
            <a:t>delete this worksheet. Deleting this Worksheet will result in errors.</a:t>
          </a:r>
          <a:endParaRPr lang="en-US" sz="2400">
            <a:solidFill>
              <a:srgbClr val="FF0000"/>
            </a:solidFill>
          </a:endParaRP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r4d" refreshedDate="44416.821233796298" createdVersion="7" refreshedVersion="7" minRefreshableVersion="3" recordCount="4" xr:uid="{00000000-000A-0000-FFFF-FFFF00000000}">
  <cacheSource type="worksheet">
    <worksheetSource name="DashboardTable"/>
  </cacheSource>
  <cacheFields count="60">
    <cacheField name="ProjectID" numFmtId="0">
      <sharedItems containsSemiMixedTypes="0" containsString="0" containsNumber="1" containsInteger="1" minValue="1" maxValue="1"/>
    </cacheField>
    <cacheField name="dType" numFmtId="0">
      <sharedItems containsBlank="1" count="7">
        <s v="T"/>
        <m u="1"/>
        <s v="MP" u="1"/>
        <s v="C" u="1"/>
        <s v="dType" u="1"/>
        <s v="M" u="1"/>
        <s v="SP" u="1"/>
      </sharedItems>
    </cacheField>
    <cacheField name="GEType" numFmtId="0">
      <sharedItems count="2">
        <s v="T"/>
        <s v="M" u="1"/>
      </sharedItems>
    </cacheField>
    <cacheField name="TID" numFmtId="0">
      <sharedItems containsSemiMixedTypes="0" containsString="0" containsNumber="1" containsInteger="1" minValue="1" maxValue="4"/>
    </cacheField>
    <cacheField name="Dependency" numFmtId="0">
      <sharedItems containsNonDate="0" containsString="0" containsBlank="1"/>
    </cacheField>
    <cacheField name="Dependents" numFmtId="0">
      <sharedItems containsNonDate="0" containsString="0" containsBlank="1"/>
    </cacheField>
    <cacheField name="StartConstrain" numFmtId="0">
      <sharedItems containsNonDate="0" containsString="0" containsBlank="1"/>
    </cacheField>
    <cacheField name="EndConstrain" numFmtId="0">
      <sharedItems containsNonDate="0" containsString="0" containsBlank="1"/>
    </cacheField>
    <cacheField name="TIL" numFmtId="0">
      <sharedItems containsSemiMixedTypes="0" containsString="0" containsNumber="1" containsInteger="1" minValue="0" maxValue="0"/>
    </cacheField>
    <cacheField name="SS" numFmtId="0">
      <sharedItems containsNonDate="0" containsString="0" containsBlank="1"/>
    </cacheField>
    <cacheField name="TaskIcon" numFmtId="0">
      <sharedItems/>
    </cacheField>
    <cacheField name="WBS" numFmtId="0">
      <sharedItems containsSemiMixedTypes="0" containsString="0" containsNumber="1" containsInteger="1" minValue="1" maxValue="4"/>
    </cacheField>
    <cacheField name="Task" numFmtId="0">
      <sharedItems/>
    </cacheField>
    <cacheField name="Priority" numFmtId="0">
      <sharedItems containsBlank="1" count="4">
        <s v="NORMAL"/>
        <s v="HIGH"/>
        <s v="LOW"/>
        <m u="1"/>
      </sharedItems>
    </cacheField>
    <cacheField name="Status" numFmtId="0">
      <sharedItems containsBlank="1" count="5">
        <s v="Completed"/>
        <s v="InProgress"/>
        <s v="Planned"/>
        <s v="Overdue"/>
        <m u="1"/>
      </sharedItems>
    </cacheField>
    <cacheField name="Resource" numFmtId="0">
      <sharedItems containsNonDate="0" containsBlank="1" count="38">
        <m/>
        <s v="Humfleet Wendy" u="1"/>
        <s v="Unique Drywall" u="1"/>
        <s v="Newton Painting" u="1"/>
        <s v="JR" u="1"/>
        <s v="Olimpia Stucco" u="1"/>
        <s v="Service Tech" u="1"/>
        <s v="Sys Team" u="1"/>
        <s v="BP Banister" u="1"/>
        <s v="Knotty Woodworks" u="1"/>
        <s v="Lopez Wild Dianne" u="1"/>
        <s v="MHC, Cerner" u="1"/>
        <s v="Flash Electrical" u="1"/>
        <s v="Trim Rite Mfg" u="1"/>
        <s v="SS" u="1"/>
        <s v="AC Flooring" u="1"/>
        <s v="Kuschell Andre" u="1"/>
        <s v="Majestic Cab's" u="1"/>
        <s v="Shiley Kayla -Cerner" u="1"/>
        <s v="Derrick G" u="1"/>
        <s v="Marv J" u="1"/>
        <s v="Jim" u="1"/>
        <s v="Derrick G, Brody M" u="1"/>
        <s v="Walworth  Andrea" u="1"/>
        <s v="Pristine - C/tops" u="1"/>
        <s v="Pristine C/tops" u="1"/>
        <s v="King Denise" u="1"/>
        <s v="Client" u="1"/>
        <s v="Morehouse Mitch" u="1"/>
        <s v="Delta Coring" u="1"/>
        <s v="Cerner, MHC" u="1"/>
        <s v="Shiley Kayla -Cerner, Lopez Wild Dianne, Morton Brittany, Rokos John" u="1"/>
        <s v="John" u="1"/>
        <s v="HB" u="1"/>
        <s v="Pristine Surround" u="1"/>
        <s v="T and S" u="1"/>
        <s v="Sys and O&amp;M" u="1"/>
        <s v="MHC" u="1"/>
      </sharedItems>
    </cacheField>
    <cacheField name="ResourceCost" numFmtId="0">
      <sharedItems containsNonDate="0" containsString="0" containsBlank="1"/>
    </cacheField>
    <cacheField name="BSD" numFmtId="0">
      <sharedItems containsNonDate="0" containsString="0" containsBlank="1"/>
    </cacheField>
    <cacheField name="BED" numFmtId="0">
      <sharedItems containsNonDate="0" containsString="0" containsBlank="1"/>
    </cacheField>
    <cacheField name="BD" numFmtId="0">
      <sharedItems containsNonDate="0" containsString="0" containsBlank="1"/>
    </cacheField>
    <cacheField name="ESD" numFmtId="14">
      <sharedItems containsSemiMixedTypes="0" containsNonDate="0" containsDate="1" containsString="0" minDate="2021-08-02T00:00:00" maxDate="2021-08-09T00:00:00"/>
    </cacheField>
    <cacheField name="EED" numFmtId="14">
      <sharedItems containsSemiMixedTypes="0" containsNonDate="0" containsDate="1" containsString="0" minDate="2021-08-05T00:00:00" maxDate="2021-08-21T00:00:00" count="2">
        <d v="2021-08-20T00:00:00"/>
        <d v="2021-08-05T00:00:00"/>
      </sharedItems>
      <fieldGroup par="59" base="21">
        <rangePr groupBy="days" startDate="2021-08-05T00:00:00" endDate="2021-08-21T00:00:00"/>
        <groupItems count="368">
          <s v="&lt;8/5/2021"/>
          <s v="1-Jan"/>
          <s v="2-Jan"/>
          <s v="3-Jan"/>
          <s v="4-Jan"/>
          <s v="5-Jan"/>
          <s v="6-Jan"/>
          <s v="7-Jan"/>
          <s v="8-Jan"/>
          <s v="9-Jan"/>
          <s v="10-Jan"/>
          <s v="11-Jan"/>
          <s v="12-Jan"/>
          <s v="13-Jan"/>
          <s v="14-Jan"/>
          <s v="15-Jan"/>
          <s v="16-Jan"/>
          <s v="17-Jan"/>
          <s v="18-Jan"/>
          <s v="19-Jan"/>
          <s v="20-Jan"/>
          <s v="21-Jan"/>
          <s v="22-Jan"/>
          <s v="23-Jan"/>
          <s v="24-Jan"/>
          <s v="25-Jan"/>
          <s v="26-Jan"/>
          <s v="27-Jan"/>
          <s v="28-Jan"/>
          <s v="29-Jan"/>
          <s v="30-Jan"/>
          <s v="31-Jan"/>
          <s v="1-Feb"/>
          <s v="2-Feb"/>
          <s v="3-Feb"/>
          <s v="4-Feb"/>
          <s v="5-Feb"/>
          <s v="6-Feb"/>
          <s v="7-Feb"/>
          <s v="8-Feb"/>
          <s v="9-Feb"/>
          <s v="10-Feb"/>
          <s v="11-Feb"/>
          <s v="12-Feb"/>
          <s v="13-Feb"/>
          <s v="14-Feb"/>
          <s v="15-Feb"/>
          <s v="16-Feb"/>
          <s v="17-Feb"/>
          <s v="18-Feb"/>
          <s v="19-Feb"/>
          <s v="20-Feb"/>
          <s v="21-Feb"/>
          <s v="22-Feb"/>
          <s v="23-Feb"/>
          <s v="24-Feb"/>
          <s v="25-Feb"/>
          <s v="26-Feb"/>
          <s v="27-Feb"/>
          <s v="28-Feb"/>
          <s v="29-Feb"/>
          <s v="1-Mar"/>
          <s v="2-Mar"/>
          <s v="3-Mar"/>
          <s v="4-Mar"/>
          <s v="5-Mar"/>
          <s v="6-Mar"/>
          <s v="7-Mar"/>
          <s v="8-Mar"/>
          <s v="9-Mar"/>
          <s v="10-Mar"/>
          <s v="11-Mar"/>
          <s v="12-Mar"/>
          <s v="13-Mar"/>
          <s v="14-Mar"/>
          <s v="15-Mar"/>
          <s v="16-Mar"/>
          <s v="17-Mar"/>
          <s v="18-Mar"/>
          <s v="19-Mar"/>
          <s v="20-Mar"/>
          <s v="21-Mar"/>
          <s v="22-Mar"/>
          <s v="23-Mar"/>
          <s v="24-Mar"/>
          <s v="25-Mar"/>
          <s v="26-Mar"/>
          <s v="27-Mar"/>
          <s v="28-Mar"/>
          <s v="29-Mar"/>
          <s v="30-Mar"/>
          <s v="31-Mar"/>
          <s v="1-Apr"/>
          <s v="2-Apr"/>
          <s v="3-Apr"/>
          <s v="4-Apr"/>
          <s v="5-Apr"/>
          <s v="6-Apr"/>
          <s v="7-Apr"/>
          <s v="8-Apr"/>
          <s v="9-Apr"/>
          <s v="10-Apr"/>
          <s v="11-Apr"/>
          <s v="12-Apr"/>
          <s v="13-Apr"/>
          <s v="14-Apr"/>
          <s v="15-Apr"/>
          <s v="16-Apr"/>
          <s v="17-Apr"/>
          <s v="18-Apr"/>
          <s v="19-Apr"/>
          <s v="20-Apr"/>
          <s v="21-Apr"/>
          <s v="22-Apr"/>
          <s v="23-Apr"/>
          <s v="24-Apr"/>
          <s v="25-Apr"/>
          <s v="26-Apr"/>
          <s v="27-Apr"/>
          <s v="28-Apr"/>
          <s v="29-Apr"/>
          <s v="30-Apr"/>
          <s v="1-May"/>
          <s v="2-May"/>
          <s v="3-May"/>
          <s v="4-May"/>
          <s v="5-May"/>
          <s v="6-May"/>
          <s v="7-May"/>
          <s v="8-May"/>
          <s v="9-May"/>
          <s v="10-May"/>
          <s v="11-May"/>
          <s v="12-May"/>
          <s v="13-May"/>
          <s v="14-May"/>
          <s v="15-May"/>
          <s v="16-May"/>
          <s v="17-May"/>
          <s v="18-May"/>
          <s v="19-May"/>
          <s v="20-May"/>
          <s v="21-May"/>
          <s v="22-May"/>
          <s v="23-May"/>
          <s v="24-May"/>
          <s v="25-May"/>
          <s v="26-May"/>
          <s v="27-May"/>
          <s v="28-May"/>
          <s v="29-May"/>
          <s v="30-May"/>
          <s v="31-May"/>
          <s v="1-Jun"/>
          <s v="2-Jun"/>
          <s v="3-Jun"/>
          <s v="4-Jun"/>
          <s v="5-Jun"/>
          <s v="6-Jun"/>
          <s v="7-Jun"/>
          <s v="8-Jun"/>
          <s v="9-Jun"/>
          <s v="10-Jun"/>
          <s v="11-Jun"/>
          <s v="12-Jun"/>
          <s v="13-Jun"/>
          <s v="14-Jun"/>
          <s v="15-Jun"/>
          <s v="16-Jun"/>
          <s v="17-Jun"/>
          <s v="18-Jun"/>
          <s v="19-Jun"/>
          <s v="20-Jun"/>
          <s v="21-Jun"/>
          <s v="22-Jun"/>
          <s v="23-Jun"/>
          <s v="24-Jun"/>
          <s v="25-Jun"/>
          <s v="26-Jun"/>
          <s v="27-Jun"/>
          <s v="28-Jun"/>
          <s v="29-Jun"/>
          <s v="30-Jun"/>
          <s v="1-Jul"/>
          <s v="2-Jul"/>
          <s v="3-Jul"/>
          <s v="4-Jul"/>
          <s v="5-Jul"/>
          <s v="6-Jul"/>
          <s v="7-Jul"/>
          <s v="8-Jul"/>
          <s v="9-Jul"/>
          <s v="10-Jul"/>
          <s v="11-Jul"/>
          <s v="12-Jul"/>
          <s v="13-Jul"/>
          <s v="14-Jul"/>
          <s v="15-Jul"/>
          <s v="16-Jul"/>
          <s v="17-Jul"/>
          <s v="18-Jul"/>
          <s v="19-Jul"/>
          <s v="20-Jul"/>
          <s v="21-Jul"/>
          <s v="22-Jul"/>
          <s v="23-Jul"/>
          <s v="24-Jul"/>
          <s v="25-Jul"/>
          <s v="26-Jul"/>
          <s v="27-Jul"/>
          <s v="28-Jul"/>
          <s v="29-Jul"/>
          <s v="30-Jul"/>
          <s v="31-Jul"/>
          <s v="1-Aug"/>
          <s v="2-Aug"/>
          <s v="3-Aug"/>
          <s v="4-Aug"/>
          <s v="5-Aug"/>
          <s v="6-Aug"/>
          <s v="7-Aug"/>
          <s v="8-Aug"/>
          <s v="9-Aug"/>
          <s v="10-Aug"/>
          <s v="11-Aug"/>
          <s v="12-Aug"/>
          <s v="13-Aug"/>
          <s v="14-Aug"/>
          <s v="15-Aug"/>
          <s v="16-Aug"/>
          <s v="17-Aug"/>
          <s v="18-Aug"/>
          <s v="19-Aug"/>
          <s v="20-Aug"/>
          <s v="21-Aug"/>
          <s v="22-Aug"/>
          <s v="23-Aug"/>
          <s v="24-Aug"/>
          <s v="25-Aug"/>
          <s v="26-Aug"/>
          <s v="27-Aug"/>
          <s v="28-Aug"/>
          <s v="29-Aug"/>
          <s v="30-Aug"/>
          <s v="31-Aug"/>
          <s v="1-Sep"/>
          <s v="2-Sep"/>
          <s v="3-Sep"/>
          <s v="4-Sep"/>
          <s v="5-Sep"/>
          <s v="6-Sep"/>
          <s v="7-Sep"/>
          <s v="8-Sep"/>
          <s v="9-Sep"/>
          <s v="10-Sep"/>
          <s v="11-Sep"/>
          <s v="12-Sep"/>
          <s v="13-Sep"/>
          <s v="14-Sep"/>
          <s v="15-Sep"/>
          <s v="16-Sep"/>
          <s v="17-Sep"/>
          <s v="18-Sep"/>
          <s v="19-Sep"/>
          <s v="20-Sep"/>
          <s v="21-Sep"/>
          <s v="22-Sep"/>
          <s v="23-Sep"/>
          <s v="24-Sep"/>
          <s v="25-Sep"/>
          <s v="26-Sep"/>
          <s v="27-Sep"/>
          <s v="28-Sep"/>
          <s v="29-Sep"/>
          <s v="30-Sep"/>
          <s v="1-Oct"/>
          <s v="2-Oct"/>
          <s v="3-Oct"/>
          <s v="4-Oct"/>
          <s v="5-Oct"/>
          <s v="6-Oct"/>
          <s v="7-Oct"/>
          <s v="8-Oct"/>
          <s v="9-Oct"/>
          <s v="10-Oct"/>
          <s v="11-Oct"/>
          <s v="12-Oct"/>
          <s v="13-Oct"/>
          <s v="14-Oct"/>
          <s v="15-Oct"/>
          <s v="16-Oct"/>
          <s v="17-Oct"/>
          <s v="18-Oct"/>
          <s v="19-Oct"/>
          <s v="20-Oct"/>
          <s v="21-Oct"/>
          <s v="22-Oct"/>
          <s v="23-Oct"/>
          <s v="24-Oct"/>
          <s v="25-Oct"/>
          <s v="26-Oct"/>
          <s v="27-Oct"/>
          <s v="28-Oct"/>
          <s v="29-Oct"/>
          <s v="30-Oct"/>
          <s v="31-Oct"/>
          <s v="1-Nov"/>
          <s v="2-Nov"/>
          <s v="3-Nov"/>
          <s v="4-Nov"/>
          <s v="5-Nov"/>
          <s v="6-Nov"/>
          <s v="7-Nov"/>
          <s v="8-Nov"/>
          <s v="9-Nov"/>
          <s v="10-Nov"/>
          <s v="11-Nov"/>
          <s v="12-Nov"/>
          <s v="13-Nov"/>
          <s v="14-Nov"/>
          <s v="15-Nov"/>
          <s v="16-Nov"/>
          <s v="17-Nov"/>
          <s v="18-Nov"/>
          <s v="19-Nov"/>
          <s v="20-Nov"/>
          <s v="21-Nov"/>
          <s v="22-Nov"/>
          <s v="23-Nov"/>
          <s v="24-Nov"/>
          <s v="25-Nov"/>
          <s v="26-Nov"/>
          <s v="27-Nov"/>
          <s v="28-Nov"/>
          <s v="29-Nov"/>
          <s v="30-Nov"/>
          <s v="1-Dec"/>
          <s v="2-Dec"/>
          <s v="3-Dec"/>
          <s v="4-Dec"/>
          <s v="5-Dec"/>
          <s v="6-Dec"/>
          <s v="7-Dec"/>
          <s v="8-Dec"/>
          <s v="9-Dec"/>
          <s v="10-Dec"/>
          <s v="11-Dec"/>
          <s v="12-Dec"/>
          <s v="13-Dec"/>
          <s v="14-Dec"/>
          <s v="15-Dec"/>
          <s v="16-Dec"/>
          <s v="17-Dec"/>
          <s v="18-Dec"/>
          <s v="19-Dec"/>
          <s v="20-Dec"/>
          <s v="21-Dec"/>
          <s v="22-Dec"/>
          <s v="23-Dec"/>
          <s v="24-Dec"/>
          <s v="25-Dec"/>
          <s v="26-Dec"/>
          <s v="27-Dec"/>
          <s v="28-Dec"/>
          <s v="29-Dec"/>
          <s v="30-Dec"/>
          <s v="31-Dec"/>
          <s v="&gt;8/21/2021"/>
        </groupItems>
      </fieldGroup>
    </cacheField>
    <cacheField name="ED" numFmtId="0">
      <sharedItems containsSemiMixedTypes="0" containsString="0" containsNumber="1" containsInteger="1" minValue="4" maxValue="10"/>
    </cacheField>
    <cacheField name="Work" numFmtId="0">
      <sharedItems containsNonDate="0" containsString="0" containsBlank="1"/>
    </cacheField>
    <cacheField name="Done" numFmtId="0">
      <sharedItems containsSemiMixedTypes="0" containsString="0" containsNumber="1" containsInteger="1" minValue="0" maxValue="100"/>
    </cacheField>
    <cacheField name="PercentageCompleted" numFmtId="0">
      <sharedItems containsSemiMixedTypes="0" containsString="0" containsNumber="1" minValue="0" maxValue="1"/>
    </cacheField>
    <cacheField name="ASD" numFmtId="0">
      <sharedItems containsNonDate="0" containsString="0" containsBlank="1"/>
    </cacheField>
    <cacheField name="AED" numFmtId="0">
      <sharedItems containsNonDate="0" containsString="0" containsBlank="1"/>
    </cacheField>
    <cacheField name="AD" numFmtId="0">
      <sharedItems containsNonDate="0" containsString="0" containsBlank="1"/>
    </cacheField>
    <cacheField name="BCS" numFmtId="0">
      <sharedItems containsNonDate="0" containsString="0" containsBlank="1"/>
    </cacheField>
    <cacheField name="ECS" numFmtId="0">
      <sharedItems containsNonDate="0" containsString="0" containsBlank="1"/>
    </cacheField>
    <cacheField name="ACS" numFmtId="0">
      <sharedItems containsNonDate="0" containsString="0" containsBlank="1"/>
    </cacheField>
    <cacheField name="Notes" numFmtId="0">
      <sharedItems containsNonDate="0" containsString="0" containsBlank="1"/>
    </cacheField>
    <cacheField name="TColor" numFmtId="0">
      <sharedItems containsNonDate="0" containsString="0" containsBlank="1"/>
    </cacheField>
    <cacheField name="TPColor" numFmtId="0">
      <sharedItems containsNonDate="0" containsString="0" containsBlank="1"/>
    </cacheField>
    <cacheField name="BLColor" numFmtId="0">
      <sharedItems containsNonDate="0" containsString="0" containsBlank="1"/>
    </cacheField>
    <cacheField name="ACColor" numFmtId="0">
      <sharedItems containsNonDate="0" containsString="0" containsBlank="1"/>
    </cacheField>
    <cacheField name="Custom 1" numFmtId="0">
      <sharedItems containsNonDate="0" containsString="0" containsBlank="1"/>
    </cacheField>
    <cacheField name="Custom 2" numFmtId="0">
      <sharedItems containsNonDate="0" containsString="0" containsBlank="1"/>
    </cacheField>
    <cacheField name="Custom 3" numFmtId="0">
      <sharedItems containsNonDate="0" containsString="0" containsBlank="1"/>
    </cacheField>
    <cacheField name="Custom 4" numFmtId="0">
      <sharedItems containsNonDate="0" containsString="0" containsBlank="1"/>
    </cacheField>
    <cacheField name="Custom 5" numFmtId="0">
      <sharedItems containsNonDate="0" containsString="0" containsBlank="1"/>
    </cacheField>
    <cacheField name="Custom 6" numFmtId="0">
      <sharedItems containsNonDate="0" containsString="0" containsBlank="1"/>
    </cacheField>
    <cacheField name="Custom 7" numFmtId="0">
      <sharedItems containsNonDate="0" containsString="0" containsBlank="1"/>
    </cacheField>
    <cacheField name="Custom 8" numFmtId="0">
      <sharedItems containsNonDate="0" containsString="0" containsBlank="1"/>
    </cacheField>
    <cacheField name="Custom 9" numFmtId="0">
      <sharedItems containsNonDate="0" containsString="0" containsBlank="1"/>
    </cacheField>
    <cacheField name="Custom 10" numFmtId="0">
      <sharedItems containsNonDate="0" containsString="0" containsBlank="1"/>
    </cacheField>
    <cacheField name="Custom 11" numFmtId="0">
      <sharedItems containsNonDate="0" containsString="0" containsBlank="1"/>
    </cacheField>
    <cacheField name="Custom 12" numFmtId="0">
      <sharedItems containsNonDate="0" containsString="0" containsBlank="1"/>
    </cacheField>
    <cacheField name="Custom 13" numFmtId="0">
      <sharedItems containsNonDate="0" containsString="0" containsBlank="1"/>
    </cacheField>
    <cacheField name="Custom 14" numFmtId="0">
      <sharedItems containsNonDate="0" containsString="0" containsBlank="1"/>
    </cacheField>
    <cacheField name="Custom 15" numFmtId="0">
      <sharedItems containsNonDate="0" containsString="0" containsBlank="1"/>
    </cacheField>
    <cacheField name="Custom 16" numFmtId="0">
      <sharedItems containsNonDate="0" containsString="0" containsBlank="1"/>
    </cacheField>
    <cacheField name="Custom 17" numFmtId="0">
      <sharedItems containsNonDate="0" containsString="0" containsBlank="1"/>
    </cacheField>
    <cacheField name="Custom 18" numFmtId="0">
      <sharedItems containsNonDate="0" containsString="0" containsBlank="1"/>
    </cacheField>
    <cacheField name="Custom 19" numFmtId="0">
      <sharedItems containsNonDate="0" containsString="0" containsBlank="1"/>
    </cacheField>
    <cacheField name="Custom 20" numFmtId="0">
      <sharedItems containsNonDate="0" containsString="0" containsBlank="1"/>
    </cacheField>
    <cacheField name="LC" numFmtId="0">
      <sharedItems containsNonDate="0" containsString="0" containsBlank="1"/>
    </cacheField>
    <cacheField name="ProjectFilter" numFmtId="0">
      <sharedItems count="2">
        <b v="1"/>
        <b v="0" u="1"/>
      </sharedItems>
    </cacheField>
    <cacheField name="Months" numFmtId="0" databaseField="0">
      <fieldGroup base="21">
        <rangePr groupBy="months" startDate="2021-08-05T00:00:00" endDate="2021-08-21T00:00:00"/>
        <groupItems count="14">
          <s v="&lt;8/5/2021"/>
          <s v="Jan"/>
          <s v="Feb"/>
          <s v="Mar"/>
          <s v="Apr"/>
          <s v="May"/>
          <s v="Jun"/>
          <s v="Jul"/>
          <s v="Aug"/>
          <s v="Sep"/>
          <s v="Oct"/>
          <s v="Nov"/>
          <s v="Dec"/>
          <s v="&gt;8/21/2021"/>
        </groupItems>
      </fieldGroup>
    </cacheField>
  </cacheFields>
  <extLst>
    <ext xmlns:x14="http://schemas.microsoft.com/office/spreadsheetml/2009/9/main" uri="{725AE2AE-9491-48be-B2B4-4EB974FC3084}">
      <x14:pivotCacheDefinition pivotCacheId="145259762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
  <r>
    <n v="1"/>
    <x v="0"/>
    <x v="0"/>
    <n v="1"/>
    <m/>
    <m/>
    <m/>
    <m/>
    <n v="0"/>
    <m/>
    <s v="u"/>
    <n v="1"/>
    <s v="Type here or double click to edit in form"/>
    <x v="0"/>
    <x v="0"/>
    <x v="0"/>
    <m/>
    <m/>
    <m/>
    <m/>
    <d v="2021-08-08T00:00:00"/>
    <x v="0"/>
    <n v="10"/>
    <m/>
    <n v="100"/>
    <n v="1"/>
    <m/>
    <m/>
    <m/>
    <m/>
    <m/>
    <m/>
    <m/>
    <m/>
    <m/>
    <m/>
    <m/>
    <m/>
    <m/>
    <m/>
    <m/>
    <m/>
    <m/>
    <m/>
    <m/>
    <m/>
    <m/>
    <m/>
    <m/>
    <m/>
    <m/>
    <m/>
    <m/>
    <m/>
    <m/>
    <m/>
    <m/>
    <m/>
    <x v="0"/>
  </r>
  <r>
    <n v="1"/>
    <x v="0"/>
    <x v="0"/>
    <n v="4"/>
    <m/>
    <m/>
    <m/>
    <m/>
    <n v="0"/>
    <m/>
    <s v="u"/>
    <n v="2"/>
    <s v="Type here or double click to edit in form"/>
    <x v="1"/>
    <x v="1"/>
    <x v="0"/>
    <m/>
    <m/>
    <m/>
    <m/>
    <d v="2021-08-08T00:00:00"/>
    <x v="0"/>
    <n v="10"/>
    <m/>
    <n v="0"/>
    <n v="0.5"/>
    <m/>
    <m/>
    <m/>
    <m/>
    <m/>
    <m/>
    <m/>
    <m/>
    <m/>
    <m/>
    <m/>
    <m/>
    <m/>
    <m/>
    <m/>
    <m/>
    <m/>
    <m/>
    <m/>
    <m/>
    <m/>
    <m/>
    <m/>
    <m/>
    <m/>
    <m/>
    <m/>
    <m/>
    <m/>
    <m/>
    <m/>
    <m/>
    <x v="0"/>
  </r>
  <r>
    <n v="1"/>
    <x v="0"/>
    <x v="0"/>
    <n v="3"/>
    <m/>
    <m/>
    <m/>
    <m/>
    <n v="0"/>
    <m/>
    <s v="u"/>
    <n v="3"/>
    <s v="Type here or double click to edit in form"/>
    <x v="2"/>
    <x v="2"/>
    <x v="0"/>
    <m/>
    <m/>
    <m/>
    <m/>
    <d v="2021-08-08T00:00:00"/>
    <x v="0"/>
    <n v="10"/>
    <m/>
    <n v="0"/>
    <n v="0"/>
    <m/>
    <m/>
    <m/>
    <m/>
    <m/>
    <m/>
    <m/>
    <m/>
    <m/>
    <m/>
    <m/>
    <m/>
    <m/>
    <m/>
    <m/>
    <m/>
    <m/>
    <m/>
    <m/>
    <m/>
    <m/>
    <m/>
    <m/>
    <m/>
    <m/>
    <m/>
    <m/>
    <m/>
    <m/>
    <m/>
    <m/>
    <m/>
    <x v="0"/>
  </r>
  <r>
    <n v="1"/>
    <x v="0"/>
    <x v="0"/>
    <n v="2"/>
    <m/>
    <m/>
    <m/>
    <m/>
    <n v="0"/>
    <m/>
    <s v="u"/>
    <n v="4"/>
    <s v="Type here or double click to edit in form"/>
    <x v="0"/>
    <x v="3"/>
    <x v="0"/>
    <m/>
    <m/>
    <m/>
    <m/>
    <d v="2021-08-02T00:00:00"/>
    <x v="1"/>
    <n v="4"/>
    <m/>
    <n v="0"/>
    <n v="0"/>
    <m/>
    <m/>
    <m/>
    <m/>
    <m/>
    <m/>
    <m/>
    <m/>
    <m/>
    <m/>
    <m/>
    <m/>
    <m/>
    <m/>
    <m/>
    <m/>
    <m/>
    <m/>
    <m/>
    <m/>
    <m/>
    <m/>
    <m/>
    <m/>
    <m/>
    <m/>
    <m/>
    <m/>
    <m/>
    <m/>
    <m/>
    <m/>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300-000005000000}" name="PT6" cacheId="0" dataOnRows="1" applyNumberFormats="0" applyBorderFormats="0" applyFontFormats="0" applyPatternFormats="0" applyAlignmentFormats="0" applyWidthHeightFormats="1" dataCaption="Values" updatedVersion="7" minRefreshableVersion="5" useAutoFormatting="1" rowGrandTotals="0" colGrandTotals="0" itemPrintTitles="1" createdVersion="7" indent="0" outline="1" outlineData="1" multipleFieldFilters="0" chartFormat="138">
  <location ref="BA4:BA5" firstHeaderRow="1" firstDataRow="1" firstDataCol="1" rowPageCount="2" colPageCount="1"/>
  <pivotFields count="60">
    <pivotField showAll="0"/>
    <pivotField axis="axisPage" showAll="0">
      <items count="8">
        <item m="1" x="3"/>
        <item h="1" m="1" x="2"/>
        <item h="1" m="1" x="6"/>
        <item x="0"/>
        <item h="1" m="1" x="4"/>
        <item h="1" m="1" x="1"/>
        <item h="1" m="1" x="5"/>
        <item t="default"/>
      </items>
    </pivotField>
    <pivotField showAll="0"/>
    <pivotField showAll="0"/>
    <pivotField showAll="0"/>
    <pivotField showAll="0"/>
    <pivotField showAll="0"/>
    <pivotField showAll="0"/>
    <pivotField showAll="0"/>
    <pivotField showAll="0"/>
    <pivotField showAll="0"/>
    <pivotField showAll="0"/>
    <pivotField showAll="0"/>
    <pivotField showAll="0">
      <items count="5">
        <item x="1"/>
        <item x="2"/>
        <item x="0"/>
        <item m="1" x="3"/>
        <item t="default"/>
      </items>
    </pivotField>
    <pivotField showAll="0">
      <items count="6">
        <item x="0"/>
        <item x="1"/>
        <item x="3"/>
        <item x="2"/>
        <item m="1" x="4"/>
        <item t="default"/>
      </items>
    </pivotField>
    <pivotField axis="axisRow" showAll="0">
      <items count="39">
        <item m="1" x="30"/>
        <item m="1" x="1"/>
        <item m="1" x="26"/>
        <item m="1" x="16"/>
        <item m="1" x="10"/>
        <item m="1" x="37"/>
        <item m="1" x="11"/>
        <item m="1" x="28"/>
        <item m="1" x="18"/>
        <item m="1" x="31"/>
        <item m="1" x="23"/>
        <item x="0"/>
        <item m="1" x="35"/>
        <item m="1" x="33"/>
        <item m="1" x="7"/>
        <item m="1" x="14"/>
        <item m="1" x="27"/>
        <item m="1" x="4"/>
        <item m="1" x="36"/>
        <item m="1" x="22"/>
        <item m="1" x="19"/>
        <item m="1" x="29"/>
        <item m="1" x="20"/>
        <item m="1" x="13"/>
        <item m="1" x="12"/>
        <item m="1" x="6"/>
        <item m="1" x="2"/>
        <item m="1" x="3"/>
        <item m="1" x="17"/>
        <item m="1" x="24"/>
        <item m="1" x="9"/>
        <item m="1" x="8"/>
        <item m="1" x="15"/>
        <item m="1" x="5"/>
        <item m="1" x="32"/>
        <item m="1" x="21"/>
        <item m="1" x="25"/>
        <item m="1" x="34"/>
        <item t="default"/>
      </items>
    </pivotField>
    <pivotField showAll="0"/>
    <pivotField showAll="0"/>
    <pivotField showAll="0"/>
    <pivotField showAll="0"/>
    <pivotField numFmtId="14" showAll="0"/>
    <pivotField numFmtId="14"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Page" showAll="0">
      <items count="3">
        <item h="1" m="1" x="1"/>
        <item x="0"/>
        <item t="default"/>
      </items>
    </pivotField>
    <pivotField showAll="0">
      <items count="15">
        <item sd="0" x="0"/>
        <item sd="0" x="1"/>
        <item sd="0" x="2"/>
        <item sd="0" x="3"/>
        <item sd="0" x="4"/>
        <item sd="0" x="5"/>
        <item sd="0" x="6"/>
        <item sd="0" x="7"/>
        <item sd="0" x="8"/>
        <item sd="0" x="9"/>
        <item sd="0" x="10"/>
        <item sd="0" x="11"/>
        <item sd="0" x="12"/>
        <item sd="0" x="13"/>
        <item t="default"/>
      </items>
    </pivotField>
  </pivotFields>
  <rowFields count="1">
    <field x="15"/>
  </rowFields>
  <rowItems count="1">
    <i>
      <x v="11"/>
    </i>
  </rowItems>
  <colItems count="1">
    <i/>
  </colItems>
  <pageFields count="2">
    <pageField fld="58" hier="-1"/>
    <pageField fld="1" hier="-1"/>
  </page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300-000000000000}" name="PT1" cacheId="0" applyNumberFormats="0" applyBorderFormats="0" applyFontFormats="0" applyPatternFormats="0" applyAlignmentFormats="0" applyWidthHeightFormats="1" dataCaption="Values" updatedVersion="7" minRefreshableVersion="5" useAutoFormatting="1" rowGrandTotals="0" colGrandTotals="0" itemPrintTitles="1" createdVersion="7" indent="0" outline="1" outlineData="1" multipleFieldFilters="0" chartFormat="183">
  <location ref="A4:B8" firstHeaderRow="1" firstDataRow="1" firstDataCol="1" rowPageCount="2" colPageCount="1"/>
  <pivotFields count="60">
    <pivotField showAll="0"/>
    <pivotField axis="axisPage" showAll="0">
      <items count="8">
        <item x="0"/>
        <item h="1" m="1" x="2"/>
        <item m="1" x="3"/>
        <item h="1" m="1" x="6"/>
        <item h="1" m="1" x="4"/>
        <item h="1" m="1" x="1"/>
        <item h="1" m="1" x="5"/>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items count="5">
        <item x="1"/>
        <item x="2"/>
        <item x="0"/>
        <item m="1" x="3"/>
        <item t="default"/>
      </items>
    </pivotField>
    <pivotField axis="axisRow" showAll="0">
      <items count="6">
        <item x="0"/>
        <item x="1"/>
        <item x="3"/>
        <item x="2"/>
        <item m="1" x="4"/>
        <item t="default"/>
      </items>
    </pivotField>
    <pivotField showAll="0">
      <items count="39">
        <item m="1" x="15"/>
        <item m="1" x="8"/>
        <item m="1" x="30"/>
        <item m="1" x="27"/>
        <item m="1" x="29"/>
        <item m="1" x="19"/>
        <item m="1" x="22"/>
        <item m="1" x="12"/>
        <item m="1" x="33"/>
        <item m="1" x="1"/>
        <item m="1" x="21"/>
        <item m="1" x="32"/>
        <item m="1" x="4"/>
        <item m="1" x="26"/>
        <item m="1" x="9"/>
        <item m="1" x="16"/>
        <item m="1" x="10"/>
        <item m="1" x="17"/>
        <item m="1" x="20"/>
        <item m="1" x="37"/>
        <item m="1" x="11"/>
        <item m="1" x="28"/>
        <item m="1" x="3"/>
        <item m="1" x="5"/>
        <item m="1" x="24"/>
        <item m="1" x="25"/>
        <item m="1" x="34"/>
        <item m="1" x="6"/>
        <item m="1" x="18"/>
        <item m="1" x="31"/>
        <item m="1" x="14"/>
        <item m="1" x="36"/>
        <item m="1" x="7"/>
        <item m="1" x="35"/>
        <item m="1" x="13"/>
        <item m="1" x="2"/>
        <item m="1" x="23"/>
        <item x="0"/>
        <item t="default"/>
      </items>
    </pivotField>
    <pivotField showAll="0"/>
    <pivotField showAll="0"/>
    <pivotField showAll="0"/>
    <pivotField showAll="0"/>
    <pivotField numFmtId="14" showAll="0"/>
    <pivotField numFmtId="14"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Page" showAll="0">
      <items count="3">
        <item h="1" m="1" x="1"/>
        <item x="0"/>
        <item t="default"/>
      </items>
    </pivotField>
    <pivotField showAll="0">
      <items count="15">
        <item x="0"/>
        <item x="1"/>
        <item x="2"/>
        <item x="3"/>
        <item x="4"/>
        <item x="5"/>
        <item x="6"/>
        <item x="7"/>
        <item x="8"/>
        <item x="9"/>
        <item x="10"/>
        <item x="11"/>
        <item x="12"/>
        <item x="13"/>
        <item t="default"/>
      </items>
    </pivotField>
  </pivotFields>
  <rowFields count="1">
    <field x="14"/>
  </rowFields>
  <rowItems count="4">
    <i>
      <x/>
    </i>
    <i>
      <x v="1"/>
    </i>
    <i>
      <x v="2"/>
    </i>
    <i>
      <x v="3"/>
    </i>
  </rowItems>
  <colItems count="1">
    <i/>
  </colItems>
  <pageFields count="2">
    <pageField fld="58" hier="-1"/>
    <pageField fld="1" hier="-1"/>
  </pageFields>
  <dataFields count="1">
    <dataField name="Count of tID" fld="3" subtotal="count" baseField="0" baseItem="0"/>
  </dataFields>
  <chartFormats count="11">
    <chartFormat chart="2" format="10" series="1">
      <pivotArea type="data" outline="0" fieldPosition="0">
        <references count="1">
          <reference field="4294967294" count="1" selected="0">
            <x v="0"/>
          </reference>
        </references>
      </pivotArea>
    </chartFormat>
    <chartFormat chart="2" format="11">
      <pivotArea type="data" outline="0" fieldPosition="0">
        <references count="2">
          <reference field="4294967294" count="1" selected="0">
            <x v="0"/>
          </reference>
          <reference field="14" count="1" selected="0">
            <x v="0"/>
          </reference>
        </references>
      </pivotArea>
    </chartFormat>
    <chartFormat chart="2" format="12">
      <pivotArea type="data" outline="0" fieldPosition="0">
        <references count="2">
          <reference field="4294967294" count="1" selected="0">
            <x v="0"/>
          </reference>
          <reference field="14" count="1" selected="0">
            <x v="1"/>
          </reference>
        </references>
      </pivotArea>
    </chartFormat>
    <chartFormat chart="2" format="13">
      <pivotArea type="data" outline="0" fieldPosition="0">
        <references count="2">
          <reference field="4294967294" count="1" selected="0">
            <x v="0"/>
          </reference>
          <reference field="14" count="1" selected="0">
            <x v="2"/>
          </reference>
        </references>
      </pivotArea>
    </chartFormat>
    <chartFormat chart="2" format="14">
      <pivotArea type="data" outline="0" fieldPosition="0">
        <references count="2">
          <reference field="4294967294" count="1" selected="0">
            <x v="0"/>
          </reference>
          <reference field="14" count="1" selected="0">
            <x v="3"/>
          </reference>
        </references>
      </pivotArea>
    </chartFormat>
    <chartFormat chart="2" format="15">
      <pivotArea type="data" outline="0" fieldPosition="0">
        <references count="1">
          <reference field="4294967294" count="1" selected="0">
            <x v="0"/>
          </reference>
        </references>
      </pivotArea>
    </chartFormat>
    <chartFormat chart="160" format="21" series="1">
      <pivotArea type="data" outline="0" fieldPosition="0">
        <references count="1">
          <reference field="4294967294" count="1" selected="0">
            <x v="0"/>
          </reference>
        </references>
      </pivotArea>
    </chartFormat>
    <chartFormat chart="160" format="22">
      <pivotArea type="data" outline="0" fieldPosition="0">
        <references count="2">
          <reference field="4294967294" count="1" selected="0">
            <x v="0"/>
          </reference>
          <reference field="14" count="1" selected="0">
            <x v="0"/>
          </reference>
        </references>
      </pivotArea>
    </chartFormat>
    <chartFormat chart="160" format="23">
      <pivotArea type="data" outline="0" fieldPosition="0">
        <references count="2">
          <reference field="4294967294" count="1" selected="0">
            <x v="0"/>
          </reference>
          <reference field="14" count="1" selected="0">
            <x v="1"/>
          </reference>
        </references>
      </pivotArea>
    </chartFormat>
    <chartFormat chart="160" format="24">
      <pivotArea type="data" outline="0" fieldPosition="0">
        <references count="2">
          <reference field="4294967294" count="1" selected="0">
            <x v="0"/>
          </reference>
          <reference field="14" count="1" selected="0">
            <x v="2"/>
          </reference>
        </references>
      </pivotArea>
    </chartFormat>
    <chartFormat chart="160" format="25">
      <pivotArea type="data" outline="0" fieldPosition="0">
        <references count="2">
          <reference field="4294967294" count="1" selected="0">
            <x v="0"/>
          </reference>
          <reference field="14"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0000000-0007-0000-0300-000004000000}" name="PT5" cacheId="0" dataOnRows="1" applyNumberFormats="0" applyBorderFormats="0" applyFontFormats="0" applyPatternFormats="0" applyAlignmentFormats="0" applyWidthHeightFormats="1" dataCaption="Values" updatedVersion="7" minRefreshableVersion="5" useAutoFormatting="1" rowGrandTotals="0" colGrandTotals="0" itemPrintTitles="1" createdVersion="7" indent="0" outline="1" outlineData="1" multipleFieldFilters="0" chartFormat="138">
  <location ref="AP4:AQ6" firstHeaderRow="1" firstDataRow="1" firstDataCol="1" rowPageCount="2" colPageCount="1"/>
  <pivotFields count="60">
    <pivotField showAll="0"/>
    <pivotField axis="axisPage" showAll="0">
      <items count="8">
        <item m="1" x="3"/>
        <item h="1" m="1" x="2"/>
        <item h="1" m="1" x="6"/>
        <item x="0"/>
        <item h="1" m="1" x="4"/>
        <item h="1" m="1" x="1"/>
        <item h="1" m="1" x="5"/>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items count="5">
        <item x="1"/>
        <item x="2"/>
        <item x="0"/>
        <item m="1" x="3"/>
        <item t="default"/>
      </items>
    </pivotField>
    <pivotField showAll="0">
      <items count="6">
        <item x="0"/>
        <item x="1"/>
        <item x="3"/>
        <item x="2"/>
        <item m="1" x="4"/>
        <item t="default"/>
      </items>
    </pivotField>
    <pivotField showAll="0">
      <items count="39">
        <item m="1" x="15"/>
        <item m="1" x="8"/>
        <item m="1" x="30"/>
        <item m="1" x="27"/>
        <item m="1" x="29"/>
        <item m="1" x="19"/>
        <item m="1" x="22"/>
        <item m="1" x="12"/>
        <item m="1" x="33"/>
        <item m="1" x="1"/>
        <item m="1" x="21"/>
        <item m="1" x="32"/>
        <item m="1" x="4"/>
        <item m="1" x="26"/>
        <item m="1" x="9"/>
        <item m="1" x="16"/>
        <item m="1" x="10"/>
        <item m="1" x="17"/>
        <item m="1" x="20"/>
        <item m="1" x="37"/>
        <item m="1" x="11"/>
        <item m="1" x="28"/>
        <item m="1" x="3"/>
        <item m="1" x="5"/>
        <item m="1" x="24"/>
        <item m="1" x="25"/>
        <item m="1" x="34"/>
        <item m="1" x="6"/>
        <item m="1" x="18"/>
        <item m="1" x="31"/>
        <item m="1" x="14"/>
        <item m="1" x="36"/>
        <item m="1" x="7"/>
        <item m="1" x="35"/>
        <item m="1" x="13"/>
        <item m="1" x="2"/>
        <item m="1" x="23"/>
        <item x="0"/>
        <item t="default"/>
      </items>
    </pivotField>
    <pivotField showAll="0"/>
    <pivotField showAll="0"/>
    <pivotField showAll="0"/>
    <pivotField showAll="0"/>
    <pivotField numFmtId="14" showAll="0"/>
    <pivotField axis="axisRow" numFmtId="14"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Page" showAll="0">
      <items count="3">
        <item h="1" m="1" x="1"/>
        <item x="0"/>
        <item t="default"/>
      </items>
    </pivotField>
    <pivotField showAll="0">
      <items count="15">
        <item sd="0" x="0"/>
        <item sd="0" x="1"/>
        <item sd="0" x="2"/>
        <item sd="0" x="3"/>
        <item sd="0" x="4"/>
        <item sd="0" x="5"/>
        <item sd="0" x="6"/>
        <item sd="0" x="7"/>
        <item sd="0" x="8"/>
        <item sd="0" x="9"/>
        <item sd="0" x="10"/>
        <item sd="0" x="11"/>
        <item sd="0" x="12"/>
        <item sd="0" x="13"/>
        <item t="default"/>
      </items>
    </pivotField>
  </pivotFields>
  <rowFields count="1">
    <field x="21"/>
  </rowFields>
  <rowItems count="2">
    <i>
      <x v="217"/>
    </i>
    <i>
      <x v="232"/>
    </i>
  </rowItems>
  <colItems count="1">
    <i/>
  </colItems>
  <pageFields count="2">
    <pageField fld="58" hier="-1"/>
    <pageField fld="1" hier="-1"/>
  </pageFields>
  <dataFields count="1">
    <dataField name="Count of tID" fld="3"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0000000-0007-0000-0300-000003000000}" name="PT4" cacheId="0" dataOnRows="1" applyNumberFormats="0" applyBorderFormats="0" applyFontFormats="0" applyPatternFormats="0" applyAlignmentFormats="0" applyWidthHeightFormats="1" dataCaption="Values" updatedVersion="7" minRefreshableVersion="5" useAutoFormatting="1" rowGrandTotals="0" colGrandTotals="0" itemPrintTitles="1" createdVersion="7" indent="0" outline="1" outlineData="1" multipleFieldFilters="0" chartFormat="175">
  <location ref="AE4" firstHeaderRow="0" firstDataRow="0" firstDataCol="0" rowPageCount="2" colPageCount="1"/>
  <pivotFields count="60">
    <pivotField showAll="0"/>
    <pivotField showAll="0"/>
    <pivotField axis="axisPage" showAll="0">
      <items count="3">
        <item m="1" x="1"/>
        <item h="1" x="0"/>
        <item t="default"/>
      </items>
    </pivotField>
    <pivotField showAll="0"/>
    <pivotField showAll="0"/>
    <pivotField showAll="0"/>
    <pivotField showAll="0"/>
    <pivotField showAll="0"/>
    <pivotField showAll="0"/>
    <pivotField showAll="0"/>
    <pivotField showAll="0"/>
    <pivotField showAll="0"/>
    <pivotField showAll="0"/>
    <pivotField showAll="0">
      <items count="5">
        <item x="1"/>
        <item x="2"/>
        <item x="0"/>
        <item m="1" x="3"/>
        <item t="default"/>
      </items>
    </pivotField>
    <pivotField showAll="0">
      <items count="6">
        <item x="0"/>
        <item x="1"/>
        <item x="3"/>
        <item x="2"/>
        <item m="1" x="4"/>
        <item t="default"/>
      </items>
    </pivotField>
    <pivotField showAll="0">
      <items count="39">
        <item m="1" x="15"/>
        <item m="1" x="8"/>
        <item m="1" x="30"/>
        <item m="1" x="27"/>
        <item m="1" x="29"/>
        <item m="1" x="19"/>
        <item m="1" x="22"/>
        <item m="1" x="12"/>
        <item m="1" x="33"/>
        <item m="1" x="1"/>
        <item m="1" x="21"/>
        <item m="1" x="32"/>
        <item m="1" x="4"/>
        <item m="1" x="26"/>
        <item m="1" x="9"/>
        <item m="1" x="16"/>
        <item m="1" x="10"/>
        <item m="1" x="17"/>
        <item m="1" x="20"/>
        <item m="1" x="37"/>
        <item m="1" x="11"/>
        <item m="1" x="28"/>
        <item m="1" x="3"/>
        <item m="1" x="5"/>
        <item m="1" x="24"/>
        <item m="1" x="25"/>
        <item m="1" x="34"/>
        <item m="1" x="6"/>
        <item m="1" x="18"/>
        <item m="1" x="31"/>
        <item m="1" x="14"/>
        <item m="1" x="36"/>
        <item m="1" x="7"/>
        <item m="1" x="35"/>
        <item m="1" x="13"/>
        <item m="1" x="2"/>
        <item m="1" x="23"/>
        <item x="0"/>
        <item t="default"/>
      </items>
    </pivotField>
    <pivotField showAll="0"/>
    <pivotField showAll="0"/>
    <pivotField showAll="0"/>
    <pivotField showAll="0"/>
    <pivotField numFmtId="14" showAll="0"/>
    <pivotField numFmtId="14"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Page" showAll="0">
      <items count="3">
        <item h="1" m="1" x="1"/>
        <item x="0"/>
        <item t="default"/>
      </items>
    </pivotField>
    <pivotField showAll="0">
      <items count="15">
        <item sd="0" x="0"/>
        <item sd="0" x="1"/>
        <item sd="0" x="2"/>
        <item sd="0" x="3"/>
        <item sd="0" x="4"/>
        <item sd="0" x="5"/>
        <item sd="0" x="6"/>
        <item sd="0" x="7"/>
        <item sd="0" x="8"/>
        <item sd="0" x="9"/>
        <item sd="0" x="10"/>
        <item sd="0" x="11"/>
        <item sd="0" x="12"/>
        <item sd="0" x="13"/>
        <item t="default"/>
      </items>
    </pivotField>
  </pivotFields>
  <pageFields count="2">
    <pageField fld="58" hier="-1"/>
    <pageField fld="2" hier="-1"/>
  </page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0000000-0007-0000-0300-000001000000}" name="PT2" cacheId="0" applyNumberFormats="0" applyBorderFormats="0" applyFontFormats="0" applyPatternFormats="0" applyAlignmentFormats="0" applyWidthHeightFormats="1" dataCaption="Values" updatedVersion="7" minRefreshableVersion="5" useAutoFormatting="1" rowGrandTotals="0" colGrandTotals="0" itemPrintTitles="1" createdVersion="7" indent="0" outline="1" outlineData="1" multipleFieldFilters="0" chartFormat="189">
  <location ref="K4:L7" firstHeaderRow="1" firstDataRow="1" firstDataCol="1" rowPageCount="2" colPageCount="1"/>
  <pivotFields count="60">
    <pivotField showAll="0"/>
    <pivotField axis="axisPage" showAll="0">
      <items count="8">
        <item x="0"/>
        <item h="1" m="1" x="2"/>
        <item m="1" x="3"/>
        <item h="1" m="1" x="6"/>
        <item h="1" m="1" x="4"/>
        <item h="1" m="1" x="1"/>
        <item h="1" m="1" x="5"/>
        <item t="default"/>
      </items>
    </pivotField>
    <pivotField showAll="0"/>
    <pivotField dataField="1" showAll="0"/>
    <pivotField showAll="0"/>
    <pivotField showAll="0"/>
    <pivotField showAll="0"/>
    <pivotField showAll="0"/>
    <pivotField showAll="0"/>
    <pivotField showAll="0"/>
    <pivotField showAll="0"/>
    <pivotField showAll="0"/>
    <pivotField showAll="0"/>
    <pivotField axis="axisRow" showAll="0">
      <items count="5">
        <item x="1"/>
        <item x="2"/>
        <item x="0"/>
        <item m="1" x="3"/>
        <item t="default"/>
      </items>
    </pivotField>
    <pivotField showAll="0">
      <items count="6">
        <item x="0"/>
        <item x="1"/>
        <item x="3"/>
        <item x="2"/>
        <item m="1" x="4"/>
        <item t="default"/>
      </items>
    </pivotField>
    <pivotField showAll="0">
      <items count="39">
        <item m="1" x="15"/>
        <item m="1" x="8"/>
        <item m="1" x="30"/>
        <item m="1" x="27"/>
        <item m="1" x="29"/>
        <item m="1" x="19"/>
        <item m="1" x="22"/>
        <item m="1" x="12"/>
        <item m="1" x="33"/>
        <item m="1" x="1"/>
        <item m="1" x="21"/>
        <item m="1" x="32"/>
        <item m="1" x="4"/>
        <item m="1" x="26"/>
        <item m="1" x="9"/>
        <item m="1" x="16"/>
        <item m="1" x="10"/>
        <item m="1" x="17"/>
        <item m="1" x="20"/>
        <item m="1" x="37"/>
        <item m="1" x="11"/>
        <item m="1" x="28"/>
        <item m="1" x="3"/>
        <item m="1" x="5"/>
        <item m="1" x="24"/>
        <item m="1" x="25"/>
        <item m="1" x="34"/>
        <item m="1" x="6"/>
        <item m="1" x="18"/>
        <item m="1" x="31"/>
        <item m="1" x="14"/>
        <item m="1" x="36"/>
        <item m="1" x="7"/>
        <item m="1" x="35"/>
        <item m="1" x="13"/>
        <item m="1" x="2"/>
        <item m="1" x="23"/>
        <item x="0"/>
        <item t="default"/>
      </items>
    </pivotField>
    <pivotField showAll="0"/>
    <pivotField showAll="0"/>
    <pivotField showAll="0"/>
    <pivotField showAll="0"/>
    <pivotField numFmtId="14" showAll="0"/>
    <pivotField numFmtId="14"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Page" showAll="0">
      <items count="3">
        <item h="1" m="1" x="1"/>
        <item x="0"/>
        <item t="default"/>
      </items>
    </pivotField>
    <pivotField showAll="0">
      <items count="15">
        <item x="0"/>
        <item x="1"/>
        <item x="2"/>
        <item x="3"/>
        <item x="4"/>
        <item x="5"/>
        <item x="6"/>
        <item x="7"/>
        <item x="8"/>
        <item x="9"/>
        <item x="10"/>
        <item x="11"/>
        <item x="12"/>
        <item x="13"/>
        <item t="default"/>
      </items>
    </pivotField>
  </pivotFields>
  <rowFields count="1">
    <field x="13"/>
  </rowFields>
  <rowItems count="3">
    <i>
      <x/>
    </i>
    <i>
      <x v="1"/>
    </i>
    <i>
      <x v="2"/>
    </i>
  </rowItems>
  <colItems count="1">
    <i/>
  </colItems>
  <pageFields count="2">
    <pageField fld="58" hier="-1"/>
    <pageField fld="1" hier="-1"/>
  </pageFields>
  <dataFields count="1">
    <dataField name="Count of tID" fld="3" subtotal="count" baseField="0" baseItem="0"/>
  </dataFields>
  <chartFormats count="10">
    <chartFormat chart="0" format="4" series="1">
      <pivotArea type="data" outline="0" fieldPosition="0">
        <references count="1">
          <reference field="4294967294" count="1" selected="0">
            <x v="0"/>
          </reference>
        </references>
      </pivotArea>
    </chartFormat>
    <chartFormat chart="2" format="10" series="1">
      <pivotArea type="data" outline="0" fieldPosition="0">
        <references count="1">
          <reference field="4294967294" count="1" selected="0">
            <x v="0"/>
          </reference>
        </references>
      </pivotArea>
    </chartFormat>
    <chartFormat chart="5" format="20" series="1">
      <pivotArea type="data" outline="0" fieldPosition="0">
        <references count="1">
          <reference field="4294967294" count="1" selected="0">
            <x v="0"/>
          </reference>
        </references>
      </pivotArea>
    </chartFormat>
    <chartFormat chart="10" format="13" series="1">
      <pivotArea type="data" outline="0" fieldPosition="0">
        <references count="1">
          <reference field="4294967294" count="1" selected="0">
            <x v="0"/>
          </reference>
        </references>
      </pivotArea>
    </chartFormat>
    <chartFormat chart="10" format="14">
      <pivotArea type="data" outline="0" fieldPosition="0">
        <references count="2">
          <reference field="4294967294" count="1" selected="0">
            <x v="0"/>
          </reference>
          <reference field="13" count="1" selected="0">
            <x v="0"/>
          </reference>
        </references>
      </pivotArea>
    </chartFormat>
    <chartFormat chart="10" format="15">
      <pivotArea type="data" outline="0" fieldPosition="0">
        <references count="2">
          <reference field="4294967294" count="1" selected="0">
            <x v="0"/>
          </reference>
          <reference field="13" count="1" selected="0">
            <x v="1"/>
          </reference>
        </references>
      </pivotArea>
    </chartFormat>
    <chartFormat chart="10" format="16">
      <pivotArea type="data" outline="0" fieldPosition="0">
        <references count="2">
          <reference field="4294967294" count="1" selected="0">
            <x v="0"/>
          </reference>
          <reference field="13" count="1" selected="0">
            <x v="2"/>
          </reference>
        </references>
      </pivotArea>
    </chartFormat>
    <chartFormat chart="10" format="17">
      <pivotArea type="data" outline="0" fieldPosition="0">
        <references count="1">
          <reference field="4294967294" count="1" selected="0">
            <x v="0"/>
          </reference>
        </references>
      </pivotArea>
    </chartFormat>
    <chartFormat chart="166" format="20" series="1">
      <pivotArea type="data" outline="0" fieldPosition="0">
        <references count="1">
          <reference field="4294967294" count="1" selected="0">
            <x v="0"/>
          </reference>
        </references>
      </pivotArea>
    </chartFormat>
    <chartFormat chart="166" format="2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00000000-0007-0000-0300-000007000000}" name="PT8" cacheId="0" dataOnRows="1" applyNumberFormats="0" applyBorderFormats="0" applyFontFormats="0" applyPatternFormats="0" applyAlignmentFormats="0" applyWidthHeightFormats="1" dataCaption="Values" updatedVersion="7" minRefreshableVersion="5" useAutoFormatting="1" rowGrandTotals="0" colGrandTotals="0" itemPrintTitles="1" createdVersion="7" indent="0" outline="1" outlineData="1" multipleFieldFilters="0" chartFormat="138">
  <location ref="BT4" firstHeaderRow="0" firstDataRow="0" firstDataCol="0" rowPageCount="2" colPageCount="1"/>
  <pivotFields count="60">
    <pivotField showAll="0"/>
    <pivotField axis="axisPage" showAll="0">
      <items count="8">
        <item m="1" x="3"/>
        <item h="1" m="1" x="2"/>
        <item h="1" m="1" x="6"/>
        <item x="0"/>
        <item h="1" m="1" x="4"/>
        <item h="1" m="1" x="1"/>
        <item h="1" m="1" x="5"/>
        <item t="default"/>
      </items>
    </pivotField>
    <pivotField showAll="0"/>
    <pivotField showAll="0"/>
    <pivotField showAll="0"/>
    <pivotField showAll="0"/>
    <pivotField showAll="0"/>
    <pivotField showAll="0"/>
    <pivotField showAll="0"/>
    <pivotField showAll="0"/>
    <pivotField showAll="0"/>
    <pivotField showAll="0"/>
    <pivotField showAll="0"/>
    <pivotField showAll="0">
      <items count="5">
        <item x="1"/>
        <item x="2"/>
        <item x="0"/>
        <item m="1" x="3"/>
        <item t="default"/>
      </items>
    </pivotField>
    <pivotField showAll="0">
      <items count="6">
        <item x="0"/>
        <item x="1"/>
        <item x="3"/>
        <item x="2"/>
        <item m="1" x="4"/>
        <item t="default"/>
      </items>
    </pivotField>
    <pivotField showAll="0">
      <items count="39">
        <item m="1" x="15"/>
        <item m="1" x="8"/>
        <item m="1" x="30"/>
        <item m="1" x="27"/>
        <item m="1" x="29"/>
        <item m="1" x="19"/>
        <item m="1" x="22"/>
        <item m="1" x="12"/>
        <item m="1" x="33"/>
        <item m="1" x="1"/>
        <item m="1" x="21"/>
        <item m="1" x="32"/>
        <item m="1" x="4"/>
        <item m="1" x="26"/>
        <item m="1" x="9"/>
        <item m="1" x="16"/>
        <item m="1" x="10"/>
        <item m="1" x="17"/>
        <item m="1" x="20"/>
        <item m="1" x="37"/>
        <item m="1" x="11"/>
        <item m="1" x="28"/>
        <item m="1" x="3"/>
        <item m="1" x="5"/>
        <item m="1" x="24"/>
        <item m="1" x="25"/>
        <item m="1" x="34"/>
        <item m="1" x="6"/>
        <item m="1" x="18"/>
        <item m="1" x="31"/>
        <item m="1" x="14"/>
        <item m="1" x="36"/>
        <item m="1" x="7"/>
        <item m="1" x="35"/>
        <item m="1" x="13"/>
        <item m="1" x="2"/>
        <item m="1" x="23"/>
        <item x="0"/>
        <item t="default"/>
      </items>
    </pivotField>
    <pivotField showAll="0"/>
    <pivotField showAll="0"/>
    <pivotField showAll="0"/>
    <pivotField showAll="0"/>
    <pivotField numFmtId="14" showAll="0"/>
    <pivotField numFmtId="14"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Page" showAll="0">
      <items count="3">
        <item h="1" m="1" x="1"/>
        <item x="0"/>
        <item t="default"/>
      </items>
    </pivotField>
    <pivotField showAll="0">
      <items count="15">
        <item sd="0" x="0"/>
        <item sd="0" x="1"/>
        <item sd="0" x="2"/>
        <item sd="0" x="3"/>
        <item sd="0" x="4"/>
        <item sd="0" x="5"/>
        <item sd="0" x="6"/>
        <item sd="0" x="7"/>
        <item sd="0" x="8"/>
        <item sd="0" x="9"/>
        <item sd="0" x="10"/>
        <item sd="0" x="11"/>
        <item sd="0" x="12"/>
        <item sd="0" x="13"/>
        <item t="default"/>
      </items>
    </pivotField>
  </pivotFields>
  <pageFields count="2">
    <pageField fld="58" hier="-1"/>
    <pageField fld="1" hier="-1"/>
  </page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00000000-0007-0000-0300-000002000000}" name="PT3" cacheId="0" dataOnRows="1" applyNumberFormats="0" applyBorderFormats="0" applyFontFormats="0" applyPatternFormats="0" applyAlignmentFormats="0" applyWidthHeightFormats="1" dataCaption="Values" updatedVersion="7" minRefreshableVersion="5" useAutoFormatting="1" rowGrandTotals="0" colGrandTotals="0" itemPrintTitles="1" createdVersion="7" indent="0" outline="1" outlineData="1" multipleFieldFilters="0" chartFormat="194">
  <location ref="U4:V7" firstHeaderRow="1" firstDataRow="1" firstDataCol="1" rowPageCount="2" colPageCount="1"/>
  <pivotFields count="60">
    <pivotField showAll="0"/>
    <pivotField axis="axisPage" showAll="0">
      <items count="8">
        <item h="1" m="1" x="3"/>
        <item m="1" x="2"/>
        <item h="1" m="1" x="6"/>
        <item x="0"/>
        <item h="1" m="1" x="4"/>
        <item h="1" m="1" x="1"/>
        <item h="1" m="1" x="5"/>
        <item t="default"/>
      </items>
    </pivotField>
    <pivotField showAll="0"/>
    <pivotField showAll="0"/>
    <pivotField showAll="0"/>
    <pivotField showAll="0"/>
    <pivotField showAll="0"/>
    <pivotField showAll="0"/>
    <pivotField showAll="0"/>
    <pivotField showAll="0"/>
    <pivotField showAll="0"/>
    <pivotField showAll="0"/>
    <pivotField showAll="0"/>
    <pivotField showAll="0">
      <items count="5">
        <item x="1"/>
        <item x="2"/>
        <item x="0"/>
        <item m="1" x="3"/>
        <item t="default"/>
      </items>
    </pivotField>
    <pivotField showAll="0">
      <items count="6">
        <item x="0"/>
        <item x="1"/>
        <item x="3"/>
        <item x="2"/>
        <item m="1" x="4"/>
        <item t="default"/>
      </items>
    </pivotField>
    <pivotField showAll="0">
      <items count="39">
        <item m="1" x="15"/>
        <item m="1" x="8"/>
        <item m="1" x="30"/>
        <item m="1" x="27"/>
        <item m="1" x="29"/>
        <item m="1" x="19"/>
        <item m="1" x="22"/>
        <item m="1" x="12"/>
        <item m="1" x="33"/>
        <item m="1" x="1"/>
        <item m="1" x="21"/>
        <item m="1" x="32"/>
        <item m="1" x="4"/>
        <item m="1" x="26"/>
        <item m="1" x="9"/>
        <item m="1" x="16"/>
        <item m="1" x="10"/>
        <item m="1" x="17"/>
        <item m="1" x="20"/>
        <item m="1" x="37"/>
        <item m="1" x="11"/>
        <item m="1" x="28"/>
        <item m="1" x="3"/>
        <item m="1" x="5"/>
        <item m="1" x="24"/>
        <item m="1" x="25"/>
        <item m="1" x="34"/>
        <item m="1" x="6"/>
        <item m="1" x="18"/>
        <item m="1" x="31"/>
        <item m="1" x="14"/>
        <item m="1" x="36"/>
        <item m="1" x="7"/>
        <item m="1" x="35"/>
        <item m="1" x="13"/>
        <item m="1" x="2"/>
        <item m="1" x="23"/>
        <item x="0"/>
        <item t="default"/>
      </items>
    </pivotField>
    <pivotField showAll="0"/>
    <pivotField showAll="0"/>
    <pivotField showAll="0"/>
    <pivotField showAll="0"/>
    <pivotField numFmtId="14" showAll="0"/>
    <pivotField numFmtId="14"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showAll="0"/>
    <pivotField showAll="0"/>
    <pivotField showAll="0"/>
    <pivotField showAll="0"/>
    <pivotField showAll="0"/>
    <pivotField showAll="0"/>
    <pivotField showAll="0"/>
    <pivotField dataField="1" showAll="0"/>
    <pivotField dataField="1"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Page" showAll="0">
      <items count="3">
        <item h="1" m="1" x="1"/>
        <item x="0"/>
        <item t="default"/>
      </items>
    </pivotField>
    <pivotField showAll="0">
      <items count="15">
        <item x="0"/>
        <item x="1"/>
        <item x="2"/>
        <item x="3"/>
        <item x="4"/>
        <item x="5"/>
        <item x="6"/>
        <item x="7"/>
        <item x="8"/>
        <item x="9"/>
        <item x="10"/>
        <item x="11"/>
        <item x="12"/>
        <item x="13"/>
        <item t="default"/>
      </items>
    </pivotField>
  </pivotFields>
  <rowFields count="1">
    <field x="-2"/>
  </rowFields>
  <rowItems count="3">
    <i>
      <x/>
    </i>
    <i i="1">
      <x v="1"/>
    </i>
    <i i="2">
      <x v="2"/>
    </i>
  </rowItems>
  <colItems count="1">
    <i/>
  </colItems>
  <pageFields count="2">
    <pageField fld="58" hier="-1"/>
    <pageField fld="1" hier="-1"/>
  </pageFields>
  <dataFields count="3">
    <dataField name="Baseline Cost" fld="29" baseField="0" baseItem="0" numFmtId="164"/>
    <dataField name="Estimated Cost" fld="30" baseField="0" baseItem="0" numFmtId="164"/>
    <dataField name="Actual Cost" fld="31" baseField="0" baseItem="0" numFmtId="164"/>
  </dataFields>
  <chartFormats count="7">
    <chartFormat chart="16" format="4" series="1">
      <pivotArea type="data" outline="0" fieldPosition="0">
        <references count="1">
          <reference field="4294967294" count="1" selected="0">
            <x v="0"/>
          </reference>
        </references>
      </pivotArea>
    </chartFormat>
    <chartFormat chart="16" format="5">
      <pivotArea type="data" outline="0" fieldPosition="0">
        <references count="1">
          <reference field="4294967294" count="1" selected="0">
            <x v="1"/>
          </reference>
        </references>
      </pivotArea>
    </chartFormat>
    <chartFormat chart="16" format="6">
      <pivotArea type="data" outline="0" fieldPosition="0">
        <references count="1">
          <reference field="4294967294" count="1" selected="0">
            <x v="2"/>
          </reference>
        </references>
      </pivotArea>
    </chartFormat>
    <chartFormat chart="16" format="7">
      <pivotArea type="data" outline="0" fieldPosition="0">
        <references count="1">
          <reference field="4294967294" count="1" selected="0">
            <x v="0"/>
          </reference>
        </references>
      </pivotArea>
    </chartFormat>
    <chartFormat chart="171" format="11" series="1">
      <pivotArea type="data" outline="0" fieldPosition="0">
        <references count="1">
          <reference field="4294967294" count="1" selected="0">
            <x v="0"/>
          </reference>
        </references>
      </pivotArea>
    </chartFormat>
    <chartFormat chart="171" format="12">
      <pivotArea type="data" outline="0" fieldPosition="0">
        <references count="1">
          <reference field="4294967294" count="1" selected="0">
            <x v="0"/>
          </reference>
        </references>
      </pivotArea>
    </chartFormat>
    <chartFormat chart="171" format="13">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00000000-0007-0000-0300-000006000000}" name="PT7" cacheId="0" dataOnRows="1" applyNumberFormats="0" applyBorderFormats="0" applyFontFormats="0" applyPatternFormats="0" applyAlignmentFormats="0" applyWidthHeightFormats="1" dataCaption="Values" updatedVersion="7" minRefreshableVersion="5" useAutoFormatting="1" rowGrandTotals="0" colGrandTotals="0" itemPrintTitles="1" createdVersion="7" indent="0" outline="1" outlineData="1" multipleFieldFilters="0" chartFormat="138">
  <location ref="BK4" firstHeaderRow="0" firstDataRow="0" firstDataCol="0" rowPageCount="2" colPageCount="1"/>
  <pivotFields count="60">
    <pivotField showAll="0"/>
    <pivotField axis="axisPage" showAll="0">
      <items count="8">
        <item m="1" x="3"/>
        <item h="1" m="1" x="2"/>
        <item h="1" m="1" x="6"/>
        <item x="0"/>
        <item h="1" m="1" x="4"/>
        <item h="1" m="1" x="1"/>
        <item h="1" m="1" x="5"/>
        <item t="default"/>
      </items>
    </pivotField>
    <pivotField showAll="0"/>
    <pivotField showAll="0"/>
    <pivotField showAll="0"/>
    <pivotField showAll="0"/>
    <pivotField showAll="0"/>
    <pivotField showAll="0"/>
    <pivotField showAll="0"/>
    <pivotField showAll="0"/>
    <pivotField showAll="0"/>
    <pivotField showAll="0"/>
    <pivotField showAll="0"/>
    <pivotField showAll="0">
      <items count="5">
        <item x="1"/>
        <item x="2"/>
        <item x="0"/>
        <item m="1" x="3"/>
        <item t="default"/>
      </items>
    </pivotField>
    <pivotField showAll="0">
      <items count="6">
        <item x="0"/>
        <item x="1"/>
        <item x="3"/>
        <item x="2"/>
        <item m="1" x="4"/>
        <item t="default"/>
      </items>
    </pivotField>
    <pivotField showAll="0">
      <items count="39">
        <item m="1" x="15"/>
        <item m="1" x="8"/>
        <item m="1" x="30"/>
        <item m="1" x="27"/>
        <item m="1" x="29"/>
        <item m="1" x="19"/>
        <item m="1" x="22"/>
        <item m="1" x="12"/>
        <item m="1" x="33"/>
        <item m="1" x="1"/>
        <item m="1" x="21"/>
        <item m="1" x="32"/>
        <item m="1" x="4"/>
        <item m="1" x="26"/>
        <item m="1" x="9"/>
        <item m="1" x="16"/>
        <item m="1" x="10"/>
        <item m="1" x="17"/>
        <item m="1" x="20"/>
        <item m="1" x="37"/>
        <item m="1" x="11"/>
        <item m="1" x="28"/>
        <item m="1" x="3"/>
        <item m="1" x="5"/>
        <item m="1" x="24"/>
        <item m="1" x="25"/>
        <item m="1" x="34"/>
        <item m="1" x="6"/>
        <item m="1" x="18"/>
        <item m="1" x="31"/>
        <item m="1" x="14"/>
        <item m="1" x="36"/>
        <item m="1" x="7"/>
        <item m="1" x="35"/>
        <item m="1" x="13"/>
        <item m="1" x="2"/>
        <item m="1" x="23"/>
        <item x="0"/>
        <item t="default"/>
      </items>
    </pivotField>
    <pivotField showAll="0"/>
    <pivotField showAll="0"/>
    <pivotField showAll="0"/>
    <pivotField showAll="0"/>
    <pivotField numFmtId="14" showAll="0"/>
    <pivotField numFmtId="14"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Page" showAll="0">
      <items count="3">
        <item h="1" m="1" x="1"/>
        <item x="0"/>
        <item t="default"/>
      </items>
    </pivotField>
    <pivotField showAll="0">
      <items count="15">
        <item sd="0" x="0"/>
        <item sd="0" x="1"/>
        <item sd="0" x="2"/>
        <item sd="0" x="3"/>
        <item sd="0" x="4"/>
        <item sd="0" x="5"/>
        <item sd="0" x="6"/>
        <item sd="0" x="7"/>
        <item sd="0" x="8"/>
        <item sd="0" x="9"/>
        <item sd="0" x="10"/>
        <item sd="0" x="11"/>
        <item sd="0" x="12"/>
        <item sd="0" x="13"/>
        <item t="default"/>
      </items>
    </pivotField>
  </pivotFields>
  <pageFields count="2">
    <pageField fld="58" hier="-1"/>
    <pageField fld="1" hier="-1"/>
  </page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iority" xr10:uid="{00000000-0013-0000-FFFF-FFFF01000000}" sourceName="Priority">
  <pivotTables>
    <pivotTable tabId="89" name="PT1"/>
    <pivotTable tabId="89" name="PT2"/>
    <pivotTable tabId="89" name="PT3"/>
    <pivotTable tabId="89" name="PT4"/>
    <pivotTable tabId="89" name="PT5"/>
    <pivotTable tabId="89" name="PT6"/>
    <pivotTable tabId="89" name="PT7"/>
    <pivotTable tabId="89" name="PT8"/>
  </pivotTables>
  <data>
    <tabular pivotCacheId="1452597621">
      <items count="4">
        <i x="1" s="1"/>
        <i x="2" s="1"/>
        <i x="0" s="1"/>
        <i x="3" s="1" nd="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atus" xr10:uid="{00000000-0013-0000-FFFF-FFFF02000000}" sourceName="Status">
  <pivotTables>
    <pivotTable tabId="89" name="PT1"/>
    <pivotTable tabId="89" name="PT2"/>
    <pivotTable tabId="89" name="PT3"/>
    <pivotTable tabId="89" name="PT4"/>
    <pivotTable tabId="89" name="PT5"/>
    <pivotTable tabId="89" name="PT6"/>
    <pivotTable tabId="89" name="PT7"/>
    <pivotTable tabId="89" name="PT8"/>
  </pivotTables>
  <data>
    <tabular pivotCacheId="1452597621">
      <items count="5">
        <i x="0" s="1"/>
        <i x="1" s="1"/>
        <i x="3" s="1"/>
        <i x="2" s="1"/>
        <i x="4" s="1" nd="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source" xr10:uid="{00000000-0013-0000-FFFF-FFFF03000000}" sourceName="Resource">
  <pivotTables>
    <pivotTable tabId="89" name="PT6"/>
    <pivotTable tabId="89" name="PT1"/>
    <pivotTable tabId="89" name="PT2"/>
    <pivotTable tabId="89" name="PT3"/>
    <pivotTable tabId="89" name="PT4"/>
    <pivotTable tabId="89" name="PT5"/>
    <pivotTable tabId="89" name="PT7"/>
    <pivotTable tabId="89" name="PT8"/>
  </pivotTables>
  <data>
    <tabular pivotCacheId="1452597621">
      <items count="38">
        <i x="0" s="1"/>
        <i x="15" s="1" nd="1"/>
        <i x="8" s="1" nd="1"/>
        <i x="30" s="1" nd="1"/>
        <i x="27" s="1" nd="1"/>
        <i x="29" s="1" nd="1"/>
        <i x="19" s="1" nd="1"/>
        <i x="22" s="1" nd="1"/>
        <i x="12" s="1" nd="1"/>
        <i x="33" s="1" nd="1"/>
        <i x="1" s="1" nd="1"/>
        <i x="21" s="1" nd="1"/>
        <i x="32" s="1" nd="1"/>
        <i x="4" s="1" nd="1"/>
        <i x="26" s="1" nd="1"/>
        <i x="9" s="1" nd="1"/>
        <i x="16" s="1" nd="1"/>
        <i x="10" s="1" nd="1"/>
        <i x="17" s="1" nd="1"/>
        <i x="20" s="1" nd="1"/>
        <i x="37" s="1" nd="1"/>
        <i x="11" s="1" nd="1"/>
        <i x="28" s="1" nd="1"/>
        <i x="3" s="1" nd="1"/>
        <i x="5" s="1" nd="1"/>
        <i x="24" s="1" nd="1"/>
        <i x="25" s="1" nd="1"/>
        <i x="34" s="1" nd="1"/>
        <i x="6" s="1" nd="1"/>
        <i x="18" s="1" nd="1"/>
        <i x="31" s="1" nd="1"/>
        <i x="14" s="1" nd="1"/>
        <i x="36" s="1" nd="1"/>
        <i x="7" s="1" nd="1"/>
        <i x="35" s="1" nd="1"/>
        <i x="13" s="1" nd="1"/>
        <i x="2" s="1" nd="1"/>
        <i x="23" s="1" nd="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riority" xr10:uid="{00000000-0014-0000-FFFF-FFFF01000000}" cache="Slicer_Priority" caption="Priority" style="SlicerStyleLight2" rowHeight="241300"/>
  <slicer name="Status" xr10:uid="{00000000-0014-0000-FFFF-FFFF02000000}" cache="Slicer_Status" caption="Status" style="SlicerStyleLight6" rowHeight="241300"/>
  <slicer name="Resource" xr10:uid="{00000000-0014-0000-FFFF-FFFF03000000}" cache="Slicer_Resource" caption="Resource" style="SlicerStyleLight4"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DashboardTable" displayName="DashboardTable" ref="A1:BG5" totalsRowShown="0">
  <autoFilter ref="A1:BG5" xr:uid="{00000000-0009-0000-0100-000002000000}"/>
  <tableColumns count="59">
    <tableColumn id="1" xr3:uid="{00000000-0010-0000-0000-000001000000}" name="ProjectID"/>
    <tableColumn id="2" xr3:uid="{00000000-0010-0000-0000-000002000000}" name="dType"/>
    <tableColumn id="3" xr3:uid="{00000000-0010-0000-0000-000003000000}" name="GEType"/>
    <tableColumn id="4" xr3:uid="{00000000-0010-0000-0000-000004000000}" name="TID"/>
    <tableColumn id="5" xr3:uid="{00000000-0010-0000-0000-000005000000}" name="Dependency"/>
    <tableColumn id="6" xr3:uid="{00000000-0010-0000-0000-000006000000}" name="Dependents"/>
    <tableColumn id="7" xr3:uid="{00000000-0010-0000-0000-000007000000}" name="StartConstrain"/>
    <tableColumn id="8" xr3:uid="{00000000-0010-0000-0000-000008000000}" name="EndConstrain"/>
    <tableColumn id="9" xr3:uid="{00000000-0010-0000-0000-000009000000}" name="TIL"/>
    <tableColumn id="10" xr3:uid="{00000000-0010-0000-0000-00000A000000}" name="SS"/>
    <tableColumn id="11" xr3:uid="{00000000-0010-0000-0000-00000B000000}" name="TaskIcon"/>
    <tableColumn id="12" xr3:uid="{00000000-0010-0000-0000-00000C000000}" name="WBS"/>
    <tableColumn id="13" xr3:uid="{00000000-0010-0000-0000-00000D000000}" name="Task"/>
    <tableColumn id="14" xr3:uid="{00000000-0010-0000-0000-00000E000000}" name="Priority"/>
    <tableColumn id="15" xr3:uid="{00000000-0010-0000-0000-00000F000000}" name="Status"/>
    <tableColumn id="16" xr3:uid="{00000000-0010-0000-0000-000010000000}" name="Resource"/>
    <tableColumn id="17" xr3:uid="{00000000-0010-0000-0000-000011000000}" name="ResourceCost"/>
    <tableColumn id="18" xr3:uid="{00000000-0010-0000-0000-000012000000}" name="BSD"/>
    <tableColumn id="19" xr3:uid="{00000000-0010-0000-0000-000013000000}" name="BED"/>
    <tableColumn id="20" xr3:uid="{00000000-0010-0000-0000-000014000000}" name="BD"/>
    <tableColumn id="21" xr3:uid="{00000000-0010-0000-0000-000015000000}" name="ESD" dataDxfId="2"/>
    <tableColumn id="22" xr3:uid="{00000000-0010-0000-0000-000016000000}" name="EED" dataDxfId="1"/>
    <tableColumn id="23" xr3:uid="{00000000-0010-0000-0000-000017000000}" name="ED"/>
    <tableColumn id="24" xr3:uid="{00000000-0010-0000-0000-000018000000}" name="Work"/>
    <tableColumn id="25" xr3:uid="{00000000-0010-0000-0000-000019000000}" name="Done"/>
    <tableColumn id="26" xr3:uid="{00000000-0010-0000-0000-00001A000000}" name="PercentageCompleted"/>
    <tableColumn id="27" xr3:uid="{00000000-0010-0000-0000-00001B000000}" name="ASD"/>
    <tableColumn id="28" xr3:uid="{00000000-0010-0000-0000-00001C000000}" name="AED"/>
    <tableColumn id="29" xr3:uid="{00000000-0010-0000-0000-00001D000000}" name="AD"/>
    <tableColumn id="30" xr3:uid="{00000000-0010-0000-0000-00001E000000}" name="BCS"/>
    <tableColumn id="31" xr3:uid="{00000000-0010-0000-0000-00001F000000}" name="ECS"/>
    <tableColumn id="32" xr3:uid="{00000000-0010-0000-0000-000020000000}" name="ACS"/>
    <tableColumn id="33" xr3:uid="{00000000-0010-0000-0000-000021000000}" name="Notes"/>
    <tableColumn id="34" xr3:uid="{00000000-0010-0000-0000-000022000000}" name="TColor"/>
    <tableColumn id="35" xr3:uid="{00000000-0010-0000-0000-000023000000}" name="TPColor"/>
    <tableColumn id="36" xr3:uid="{00000000-0010-0000-0000-000024000000}" name="BLColor"/>
    <tableColumn id="37" xr3:uid="{00000000-0010-0000-0000-000025000000}" name="ACColor"/>
    <tableColumn id="38" xr3:uid="{00000000-0010-0000-0000-000026000000}" name="Custom 1"/>
    <tableColumn id="39" xr3:uid="{00000000-0010-0000-0000-000027000000}" name="Custom 2"/>
    <tableColumn id="40" xr3:uid="{00000000-0010-0000-0000-000028000000}" name="Custom 3"/>
    <tableColumn id="41" xr3:uid="{00000000-0010-0000-0000-000029000000}" name="Custom 4"/>
    <tableColumn id="42" xr3:uid="{00000000-0010-0000-0000-00002A000000}" name="Custom 5"/>
    <tableColumn id="43" xr3:uid="{00000000-0010-0000-0000-00002B000000}" name="Custom 6"/>
    <tableColumn id="44" xr3:uid="{00000000-0010-0000-0000-00002C000000}" name="Custom 7"/>
    <tableColumn id="45" xr3:uid="{00000000-0010-0000-0000-00002D000000}" name="Custom 8"/>
    <tableColumn id="46" xr3:uid="{00000000-0010-0000-0000-00002E000000}" name="Custom 9"/>
    <tableColumn id="47" xr3:uid="{00000000-0010-0000-0000-00002F000000}" name="Custom 10"/>
    <tableColumn id="48" xr3:uid="{00000000-0010-0000-0000-000030000000}" name="Custom 11"/>
    <tableColumn id="49" xr3:uid="{00000000-0010-0000-0000-000031000000}" name="Custom 12"/>
    <tableColumn id="50" xr3:uid="{00000000-0010-0000-0000-000032000000}" name="Custom 13"/>
    <tableColumn id="51" xr3:uid="{00000000-0010-0000-0000-000033000000}" name="Custom 14"/>
    <tableColumn id="52" xr3:uid="{00000000-0010-0000-0000-000034000000}" name="Custom 15"/>
    <tableColumn id="53" xr3:uid="{00000000-0010-0000-0000-000035000000}" name="Custom 16"/>
    <tableColumn id="54" xr3:uid="{00000000-0010-0000-0000-000036000000}" name="Custom 17"/>
    <tableColumn id="55" xr3:uid="{00000000-0010-0000-0000-000037000000}" name="Custom 18"/>
    <tableColumn id="56" xr3:uid="{00000000-0010-0000-0000-000038000000}" name="Custom 19"/>
    <tableColumn id="57" xr3:uid="{00000000-0010-0000-0000-000039000000}" name="Custom 20"/>
    <tableColumn id="58" xr3:uid="{00000000-0010-0000-0000-00003A000000}" name="LC"/>
    <tableColumn id="59" xr3:uid="{00000000-0010-0000-0000-00003B000000}" name="ProjectFilter">
      <calculatedColumnFormula>DashboardTable[[#This Row],[ProjectID]]=#REF!</calculatedColumnFormula>
    </tableColumn>
  </tableColumns>
  <tableStyleInfo name="TableStyleMedium15"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EED" xr10:uid="{00000000-0013-0000-FFFF-FFFF04000000}" sourceName="EED">
  <pivotTables>
    <pivotTable tabId="89" name="PT1"/>
    <pivotTable tabId="89" name="PT2"/>
    <pivotTable tabId="89" name="PT3"/>
    <pivotTable tabId="89" name="PT4"/>
    <pivotTable tabId="89" name="PT5"/>
    <pivotTable tabId="89" name="PT6"/>
    <pivotTable tabId="89" name="PT7"/>
    <pivotTable tabId="89" name="PT8"/>
  </pivotTables>
  <state minimalRefreshVersion="6" lastRefreshVersion="6" pivotCacheId="1452597621" filterType="unknown">
    <bounds startDate="2021-01-01T00:00:00" endDate="2022-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EED 2" xr10:uid="{00000000-0014-0000-FFFF-FFFF04000000}" cache="NativeTimeline_EED" caption="Task Due Date" level="2" selectionLevel="2" scrollPosition="2021-01-01T00:00:00" style="TimeSlicerStyleLight6"/>
</timelines>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rinterSettings" Target="../printerSettings/printerSettings1.bin"/><Relationship Id="rId6" Type="http://schemas.microsoft.com/office/2011/relationships/timeline" Target="../timelines/timeline1.xml"/><Relationship Id="rId5" Type="http://schemas.microsoft.com/office/2007/relationships/slicer" Target="../slicers/slicer1.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 Id="rId9"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3" Type="http://schemas.openxmlformats.org/officeDocument/2006/relationships/hyperlink" Target="https://www.ganttexcel.com/documentation/?utm_source=xlc&amp;utm_medium=9031419786979019629490109259235292593497" TargetMode="External"/><Relationship Id="rId2" Type="http://schemas.openxmlformats.org/officeDocument/2006/relationships/hyperlink" Target="https://www.ganttexcel.com/documentation/?utm_source=xlc&amp;utm_medium=9031419786979019629490109259235292593497" TargetMode="External"/><Relationship Id="rId1" Type="http://schemas.openxmlformats.org/officeDocument/2006/relationships/hyperlink" Target="https://www.ganttexcel.com/documentation/enable-macros/?utm_source=xlc&amp;utm_medium=9031419786979019629490109259235292593497" TargetMode="External"/><Relationship Id="rId5" Type="http://schemas.openxmlformats.org/officeDocument/2006/relationships/drawing" Target="../drawings/drawing6.xml"/><Relationship Id="rId4"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GDD"/>
  <dimension ref="A1:BG5"/>
  <sheetViews>
    <sheetView workbookViewId="0">
      <selection activeCell="B33" sqref="B33"/>
    </sheetView>
  </sheetViews>
  <sheetFormatPr defaultRowHeight="13.8"/>
  <cols>
    <col min="1" max="4" width="12.8984375" customWidth="1"/>
    <col min="5" max="5" width="15" customWidth="1"/>
    <col min="6" max="6" width="14.69921875" customWidth="1"/>
    <col min="7" max="7" width="16.3984375" customWidth="1"/>
    <col min="8" max="8" width="15.59765625" customWidth="1"/>
    <col min="9" max="16" width="12.8984375" customWidth="1"/>
    <col min="17" max="17" width="15.09765625" customWidth="1"/>
    <col min="18" max="23" width="12.8984375" customWidth="1"/>
    <col min="24" max="24" width="13" customWidth="1"/>
    <col min="25" max="26" width="23" customWidth="1"/>
    <col min="27" max="57" width="12.8984375" customWidth="1"/>
    <col min="58" max="61" width="11" customWidth="1"/>
  </cols>
  <sheetData>
    <row r="1" spans="1:59">
      <c r="A1" t="s">
        <v>170</v>
      </c>
      <c r="B1" t="s">
        <v>171</v>
      </c>
      <c r="C1" t="s">
        <v>234</v>
      </c>
      <c r="D1" t="s">
        <v>226</v>
      </c>
      <c r="E1" t="s">
        <v>227</v>
      </c>
      <c r="F1" t="s">
        <v>228</v>
      </c>
      <c r="G1" t="s">
        <v>229</v>
      </c>
      <c r="H1" t="s">
        <v>230</v>
      </c>
      <c r="I1" t="s">
        <v>160</v>
      </c>
      <c r="J1" t="s">
        <v>161</v>
      </c>
      <c r="K1" t="s">
        <v>231</v>
      </c>
      <c r="L1" t="s">
        <v>27</v>
      </c>
      <c r="M1" t="s">
        <v>26</v>
      </c>
      <c r="N1" t="s">
        <v>137</v>
      </c>
      <c r="O1" t="s">
        <v>138</v>
      </c>
      <c r="P1" t="s">
        <v>225</v>
      </c>
      <c r="Q1" t="s">
        <v>232</v>
      </c>
      <c r="R1" t="s">
        <v>25</v>
      </c>
      <c r="S1" t="s">
        <v>24</v>
      </c>
      <c r="T1" t="s">
        <v>23</v>
      </c>
      <c r="U1" t="s">
        <v>22</v>
      </c>
      <c r="V1" t="s">
        <v>20</v>
      </c>
      <c r="W1" t="s">
        <v>18</v>
      </c>
      <c r="X1" t="s">
        <v>223</v>
      </c>
      <c r="Y1" t="s">
        <v>233</v>
      </c>
      <c r="Z1" t="s">
        <v>17</v>
      </c>
      <c r="AA1" t="s">
        <v>21</v>
      </c>
      <c r="AB1" t="s">
        <v>19</v>
      </c>
      <c r="AC1" t="s">
        <v>16</v>
      </c>
      <c r="AD1" t="s">
        <v>15</v>
      </c>
      <c r="AE1" t="s">
        <v>14</v>
      </c>
      <c r="AF1" t="s">
        <v>13</v>
      </c>
      <c r="AG1" t="s">
        <v>12</v>
      </c>
      <c r="AH1" t="s">
        <v>162</v>
      </c>
      <c r="AI1" t="s">
        <v>163</v>
      </c>
      <c r="AJ1" t="s">
        <v>164</v>
      </c>
      <c r="AK1" t="s">
        <v>165</v>
      </c>
      <c r="AL1" t="s">
        <v>172</v>
      </c>
      <c r="AM1" t="s">
        <v>173</v>
      </c>
      <c r="AN1" t="s">
        <v>174</v>
      </c>
      <c r="AO1" t="s">
        <v>175</v>
      </c>
      <c r="AP1" t="s">
        <v>176</v>
      </c>
      <c r="AQ1" t="s">
        <v>177</v>
      </c>
      <c r="AR1" t="s">
        <v>178</v>
      </c>
      <c r="AS1" t="s">
        <v>179</v>
      </c>
      <c r="AT1" t="s">
        <v>180</v>
      </c>
      <c r="AU1" t="s">
        <v>181</v>
      </c>
      <c r="AV1" t="s">
        <v>182</v>
      </c>
      <c r="AW1" t="s">
        <v>183</v>
      </c>
      <c r="AX1" t="s">
        <v>184</v>
      </c>
      <c r="AY1" t="s">
        <v>185</v>
      </c>
      <c r="AZ1" t="s">
        <v>186</v>
      </c>
      <c r="BA1" t="s">
        <v>187</v>
      </c>
      <c r="BB1" t="s">
        <v>188</v>
      </c>
      <c r="BC1" t="s">
        <v>189</v>
      </c>
      <c r="BD1" t="s">
        <v>190</v>
      </c>
      <c r="BE1" t="s">
        <v>191</v>
      </c>
      <c r="BF1" t="s">
        <v>166</v>
      </c>
      <c r="BG1" s="130" t="s">
        <v>215</v>
      </c>
    </row>
    <row r="2" spans="1:59">
      <c r="A2">
        <v>1</v>
      </c>
      <c r="B2" t="s">
        <v>167</v>
      </c>
      <c r="C2" t="s">
        <v>167</v>
      </c>
      <c r="D2">
        <v>1</v>
      </c>
      <c r="I2">
        <v>0</v>
      </c>
      <c r="K2" t="s">
        <v>169</v>
      </c>
      <c r="L2">
        <v>1</v>
      </c>
      <c r="M2" t="s">
        <v>243</v>
      </c>
      <c r="N2" t="s">
        <v>168</v>
      </c>
      <c r="O2" t="s">
        <v>56</v>
      </c>
      <c r="U2" s="89">
        <v>44416</v>
      </c>
      <c r="V2" s="89">
        <v>44428</v>
      </c>
      <c r="W2">
        <v>10</v>
      </c>
      <c r="Y2">
        <v>100</v>
      </c>
      <c r="Z2">
        <v>1</v>
      </c>
      <c r="BG2" s="130" t="e">
        <f>DashboardTable[[#This Row],[ProjectID]]=#REF!</f>
        <v>#REF!</v>
      </c>
    </row>
    <row r="3" spans="1:59">
      <c r="A3">
        <v>1</v>
      </c>
      <c r="B3" t="s">
        <v>167</v>
      </c>
      <c r="C3" t="s">
        <v>167</v>
      </c>
      <c r="D3">
        <v>4</v>
      </c>
      <c r="I3">
        <v>0</v>
      </c>
      <c r="K3" t="s">
        <v>169</v>
      </c>
      <c r="L3">
        <v>2</v>
      </c>
      <c r="M3" t="s">
        <v>243</v>
      </c>
      <c r="N3" t="s">
        <v>237</v>
      </c>
      <c r="O3" t="s">
        <v>244</v>
      </c>
      <c r="U3" s="89">
        <v>44416</v>
      </c>
      <c r="V3" s="89">
        <v>44428</v>
      </c>
      <c r="W3">
        <v>10</v>
      </c>
      <c r="Y3">
        <v>0</v>
      </c>
      <c r="Z3">
        <v>0.5</v>
      </c>
      <c r="BG3" s="130" t="e">
        <f>DashboardTable[[#This Row],[ProjectID]]=#REF!</f>
        <v>#REF!</v>
      </c>
    </row>
    <row r="4" spans="1:59">
      <c r="A4">
        <v>1</v>
      </c>
      <c r="B4" t="s">
        <v>167</v>
      </c>
      <c r="C4" t="s">
        <v>167</v>
      </c>
      <c r="D4">
        <v>3</v>
      </c>
      <c r="I4">
        <v>0</v>
      </c>
      <c r="K4" t="s">
        <v>169</v>
      </c>
      <c r="L4">
        <v>3</v>
      </c>
      <c r="M4" t="s">
        <v>243</v>
      </c>
      <c r="N4" t="s">
        <v>236</v>
      </c>
      <c r="O4" t="s">
        <v>58</v>
      </c>
      <c r="U4" s="89">
        <v>44416</v>
      </c>
      <c r="V4" s="89">
        <v>44428</v>
      </c>
      <c r="W4">
        <v>10</v>
      </c>
      <c r="Y4">
        <v>0</v>
      </c>
      <c r="Z4">
        <v>0</v>
      </c>
      <c r="BG4" s="130" t="e">
        <f>DashboardTable[[#This Row],[ProjectID]]=#REF!</f>
        <v>#REF!</v>
      </c>
    </row>
    <row r="5" spans="1:59">
      <c r="A5">
        <v>1</v>
      </c>
      <c r="B5" t="s">
        <v>167</v>
      </c>
      <c r="C5" t="s">
        <v>167</v>
      </c>
      <c r="D5">
        <v>2</v>
      </c>
      <c r="I5">
        <v>0</v>
      </c>
      <c r="K5" t="s">
        <v>169</v>
      </c>
      <c r="L5">
        <v>4</v>
      </c>
      <c r="M5" t="s">
        <v>243</v>
      </c>
      <c r="N5" t="s">
        <v>168</v>
      </c>
      <c r="O5" t="s">
        <v>59</v>
      </c>
      <c r="U5" s="89">
        <v>44410</v>
      </c>
      <c r="V5" s="89">
        <v>44413</v>
      </c>
      <c r="W5">
        <v>4</v>
      </c>
      <c r="Y5">
        <v>0</v>
      </c>
      <c r="Z5">
        <v>0</v>
      </c>
      <c r="BG5" s="130" t="e">
        <f>DashboardTable[[#This Row],[ProjectID]]=#REF!</f>
        <v>#REF!</v>
      </c>
    </row>
  </sheetData>
  <phoneticPr fontId="24" type="noConversion"/>
  <pageMargins left="0.7" right="0.7" top="0.75" bottom="0.75" header="0.3" footer="0.3"/>
  <drawing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GST"/>
  <dimension ref="A1:LW10"/>
  <sheetViews>
    <sheetView workbookViewId="0">
      <selection activeCell="G26" sqref="G26"/>
    </sheetView>
  </sheetViews>
  <sheetFormatPr defaultColWidth="9.09765625" defaultRowHeight="13.8"/>
  <cols>
    <col min="1" max="1" width="9.09765625" style="52"/>
    <col min="2" max="2" width="9.09765625" style="63"/>
    <col min="3" max="11" width="9.09765625" style="52"/>
    <col min="12" max="12" width="14.8984375" style="87" customWidth="1"/>
    <col min="13" max="13" width="14.8984375" style="88" customWidth="1"/>
    <col min="14" max="14" width="12.8984375" style="52" customWidth="1"/>
    <col min="15" max="19" width="9.09765625" style="52"/>
    <col min="20" max="20" width="12.69921875" style="52" customWidth="1"/>
    <col min="21" max="27" width="9.09765625" style="52"/>
    <col min="28" max="28" width="19.69921875" style="52" customWidth="1"/>
    <col min="29" max="45" width="9.09765625" style="52"/>
    <col min="46" max="46" width="9.09765625" style="88"/>
    <col min="47" max="64" width="9.09765625" style="52"/>
    <col min="65" max="65" width="9.09765625" style="57"/>
    <col min="66" max="71" width="9.09765625" style="60"/>
    <col min="72" max="102" width="9.09765625" style="52"/>
    <col min="103" max="103" width="9.09765625" style="62"/>
    <col min="104" max="313" width="9.09765625" style="52"/>
    <col min="314" max="325" width="9.09765625" style="62"/>
    <col min="326" max="16384" width="9.09765625" style="52"/>
  </cols>
  <sheetData>
    <row r="1" spans="1:335">
      <c r="A1" s="11" t="s">
        <v>132</v>
      </c>
      <c r="B1" s="11" t="s">
        <v>146</v>
      </c>
      <c r="C1" s="9" t="s">
        <v>42</v>
      </c>
      <c r="D1" s="9" t="s">
        <v>62</v>
      </c>
      <c r="E1" s="9" t="s">
        <v>45</v>
      </c>
      <c r="F1" s="9" t="s">
        <v>53</v>
      </c>
      <c r="G1" s="9" t="s">
        <v>4</v>
      </c>
      <c r="H1" s="9" t="s">
        <v>6</v>
      </c>
      <c r="I1" s="9" t="s">
        <v>55</v>
      </c>
      <c r="J1" s="9" t="s">
        <v>54</v>
      </c>
      <c r="K1" s="9" t="s">
        <v>71</v>
      </c>
      <c r="L1" s="9" t="s">
        <v>148</v>
      </c>
      <c r="M1" s="9" t="s">
        <v>149</v>
      </c>
      <c r="N1" s="9" t="s">
        <v>64</v>
      </c>
      <c r="O1" s="9" t="s">
        <v>65</v>
      </c>
      <c r="P1" s="9" t="s">
        <v>51</v>
      </c>
      <c r="Q1" s="9" t="s">
        <v>50</v>
      </c>
      <c r="R1" s="9" t="s">
        <v>49</v>
      </c>
      <c r="S1" s="9" t="s">
        <v>48</v>
      </c>
      <c r="T1" s="9" t="s">
        <v>120</v>
      </c>
      <c r="U1" s="9" t="s">
        <v>121</v>
      </c>
      <c r="V1" s="9" t="s">
        <v>122</v>
      </c>
      <c r="W1" s="9" t="s">
        <v>123</v>
      </c>
      <c r="X1" s="9" t="s">
        <v>124</v>
      </c>
      <c r="Y1" s="9" t="s">
        <v>41</v>
      </c>
      <c r="Z1" s="9" t="s">
        <v>40</v>
      </c>
      <c r="AA1" s="9" t="s">
        <v>43</v>
      </c>
      <c r="AB1" s="9" t="s">
        <v>135</v>
      </c>
      <c r="AC1" s="9" t="s">
        <v>52</v>
      </c>
      <c r="AD1" s="9" t="s">
        <v>47</v>
      </c>
      <c r="AE1" s="9" t="s">
        <v>36</v>
      </c>
      <c r="AF1" s="9" t="s">
        <v>35</v>
      </c>
      <c r="AG1" s="9" t="s">
        <v>34</v>
      </c>
      <c r="AH1" s="9" t="s">
        <v>33</v>
      </c>
      <c r="AI1" s="9" t="s">
        <v>32</v>
      </c>
      <c r="AJ1" s="9" t="s">
        <v>31</v>
      </c>
      <c r="AK1" s="9" t="s">
        <v>30</v>
      </c>
      <c r="AL1" s="9" t="s">
        <v>66</v>
      </c>
      <c r="AM1" s="9" t="s">
        <v>67</v>
      </c>
      <c r="AN1" s="9" t="s">
        <v>145</v>
      </c>
      <c r="AO1" s="11" t="s">
        <v>81</v>
      </c>
      <c r="AP1" s="11" t="s">
        <v>82</v>
      </c>
      <c r="AQ1" s="11" t="s">
        <v>83</v>
      </c>
      <c r="AR1" s="11" t="s">
        <v>84</v>
      </c>
      <c r="AS1" s="11" t="s">
        <v>90</v>
      </c>
      <c r="AT1" s="11" t="s">
        <v>150</v>
      </c>
      <c r="AU1" s="11" t="s">
        <v>85</v>
      </c>
      <c r="AV1" s="11" t="s">
        <v>86</v>
      </c>
      <c r="AW1" s="11" t="s">
        <v>87</v>
      </c>
      <c r="AX1" s="11" t="s">
        <v>98</v>
      </c>
      <c r="AY1" s="11" t="s">
        <v>88</v>
      </c>
      <c r="AZ1" s="11" t="s">
        <v>89</v>
      </c>
      <c r="BA1" s="11" t="s">
        <v>116</v>
      </c>
      <c r="BB1" s="11" t="s">
        <v>151</v>
      </c>
      <c r="BC1" s="11" t="s">
        <v>91</v>
      </c>
      <c r="BD1" s="11" t="s">
        <v>92</v>
      </c>
      <c r="BE1" s="11" t="s">
        <v>93</v>
      </c>
      <c r="BF1" s="11" t="s">
        <v>125</v>
      </c>
      <c r="BG1" s="11" t="s">
        <v>126</v>
      </c>
      <c r="BH1" s="11" t="s">
        <v>94</v>
      </c>
      <c r="BI1" s="11" t="s">
        <v>114</v>
      </c>
      <c r="BJ1" s="11" t="s">
        <v>95</v>
      </c>
      <c r="BK1" s="11" t="s">
        <v>96</v>
      </c>
      <c r="BL1" s="11" t="s">
        <v>97</v>
      </c>
      <c r="BM1" s="11" t="s">
        <v>136</v>
      </c>
      <c r="BN1" s="11" t="s">
        <v>139</v>
      </c>
      <c r="BO1" s="11" t="s">
        <v>140</v>
      </c>
      <c r="BP1" s="11" t="s">
        <v>141</v>
      </c>
      <c r="BQ1" s="11" t="s">
        <v>142</v>
      </c>
      <c r="BR1" s="11" t="s">
        <v>143</v>
      </c>
      <c r="BS1" s="11" t="s">
        <v>144</v>
      </c>
      <c r="BT1" s="11" t="s">
        <v>99</v>
      </c>
      <c r="BU1" s="9" t="s">
        <v>100</v>
      </c>
      <c r="BV1" s="9" t="s">
        <v>101</v>
      </c>
      <c r="BW1" s="9" t="s">
        <v>102</v>
      </c>
      <c r="BX1" s="9" t="s">
        <v>103</v>
      </c>
      <c r="BY1" s="9" t="s">
        <v>104</v>
      </c>
      <c r="BZ1" s="9" t="s">
        <v>105</v>
      </c>
      <c r="CA1" s="9" t="s">
        <v>106</v>
      </c>
      <c r="CB1" s="9" t="s">
        <v>107</v>
      </c>
      <c r="CC1" s="9" t="s">
        <v>108</v>
      </c>
      <c r="CD1" s="9" t="s">
        <v>109</v>
      </c>
      <c r="CE1" s="9" t="s">
        <v>110</v>
      </c>
      <c r="CF1" s="9" t="s">
        <v>112</v>
      </c>
      <c r="CG1" s="9" t="s">
        <v>111</v>
      </c>
      <c r="CH1" s="9" t="s">
        <v>115</v>
      </c>
      <c r="CI1" s="9" t="s">
        <v>117</v>
      </c>
      <c r="CJ1" s="9" t="s">
        <v>118</v>
      </c>
      <c r="CK1" s="9" t="s">
        <v>119</v>
      </c>
      <c r="CL1" s="9" t="s">
        <v>109</v>
      </c>
      <c r="CM1" s="9" t="s">
        <v>110</v>
      </c>
      <c r="CN1" s="9" t="s">
        <v>112</v>
      </c>
      <c r="CO1" s="9" t="s">
        <v>111</v>
      </c>
      <c r="CP1" s="9" t="s">
        <v>115</v>
      </c>
      <c r="CQ1" s="9" t="s">
        <v>117</v>
      </c>
      <c r="CR1" s="9" t="s">
        <v>118</v>
      </c>
      <c r="CS1" s="9" t="s">
        <v>119</v>
      </c>
      <c r="CT1" s="12" t="s">
        <v>133</v>
      </c>
      <c r="CU1" s="12" t="s">
        <v>128</v>
      </c>
      <c r="CV1" s="12" t="s">
        <v>134</v>
      </c>
      <c r="CW1" s="12" t="s">
        <v>131</v>
      </c>
      <c r="CX1" s="12" t="s">
        <v>130</v>
      </c>
      <c r="CY1" s="12" t="s">
        <v>147</v>
      </c>
      <c r="CZ1" s="12" t="s">
        <v>155</v>
      </c>
      <c r="DA1" s="12" t="s">
        <v>154</v>
      </c>
      <c r="DB1" s="12" t="s">
        <v>153</v>
      </c>
      <c r="DC1" s="12" t="s">
        <v>152</v>
      </c>
      <c r="DD1" s="12" t="s">
        <v>159</v>
      </c>
      <c r="LO1" s="12" t="s">
        <v>46</v>
      </c>
      <c r="LP1" s="12" t="s">
        <v>44</v>
      </c>
      <c r="LQ1" s="12" t="s">
        <v>39</v>
      </c>
      <c r="LR1" s="12" t="s">
        <v>38</v>
      </c>
      <c r="LS1" s="12" t="s">
        <v>37</v>
      </c>
      <c r="LT1" s="12" t="s">
        <v>60</v>
      </c>
      <c r="LU1" s="12" t="s">
        <v>61</v>
      </c>
      <c r="LV1" s="12" t="s">
        <v>72</v>
      </c>
      <c r="LW1" s="12"/>
    </row>
    <row r="2" spans="1:335">
      <c r="A2" s="10" t="s">
        <v>113</v>
      </c>
      <c r="B2" s="10">
        <v>1</v>
      </c>
      <c r="C2" s="9" t="s">
        <v>28</v>
      </c>
      <c r="D2" s="9" t="s">
        <v>63</v>
      </c>
      <c r="E2" s="9" t="b">
        <v>1</v>
      </c>
      <c r="F2" s="13" t="s">
        <v>8</v>
      </c>
      <c r="G2" s="14">
        <v>20000</v>
      </c>
      <c r="H2" s="14">
        <v>10000</v>
      </c>
      <c r="I2" s="13"/>
      <c r="J2" s="13">
        <v>0</v>
      </c>
      <c r="K2" s="13" t="b">
        <v>0</v>
      </c>
      <c r="L2" s="13" t="b">
        <v>1</v>
      </c>
      <c r="M2" s="13" t="b">
        <v>1</v>
      </c>
      <c r="N2" s="13" t="b">
        <v>1</v>
      </c>
      <c r="O2" s="13" t="b">
        <v>1</v>
      </c>
      <c r="P2" s="13">
        <v>1</v>
      </c>
      <c r="Q2" s="13">
        <v>1</v>
      </c>
      <c r="R2" s="13">
        <v>1</v>
      </c>
      <c r="S2" s="13">
        <v>1</v>
      </c>
      <c r="T2" s="13" t="b">
        <v>1</v>
      </c>
      <c r="U2" s="13" t="b">
        <v>1</v>
      </c>
      <c r="V2" s="13" t="b">
        <v>1</v>
      </c>
      <c r="W2" s="13" t="b">
        <v>1</v>
      </c>
      <c r="X2" s="13" t="b">
        <v>1</v>
      </c>
      <c r="Y2" s="9" t="b">
        <v>1</v>
      </c>
      <c r="Z2" s="9" t="b">
        <v>0</v>
      </c>
      <c r="AA2" s="9">
        <v>0</v>
      </c>
      <c r="AB2" s="13">
        <v>1</v>
      </c>
      <c r="AC2" s="13" t="s">
        <v>29</v>
      </c>
      <c r="AD2" s="13">
        <v>1</v>
      </c>
      <c r="AE2" s="9" t="b">
        <v>0</v>
      </c>
      <c r="AF2" s="9">
        <v>20</v>
      </c>
      <c r="AG2" s="51" t="s">
        <v>127</v>
      </c>
      <c r="AH2" s="9" t="s">
        <v>26</v>
      </c>
      <c r="AI2" s="9" t="b">
        <v>1</v>
      </c>
      <c r="AJ2" s="9" t="b">
        <v>0</v>
      </c>
      <c r="AK2" s="9" t="b">
        <v>0</v>
      </c>
      <c r="AL2" s="9" t="s">
        <v>68</v>
      </c>
      <c r="AM2" s="9" t="s">
        <v>69</v>
      </c>
      <c r="AN2" s="9"/>
      <c r="AO2" s="76" t="s">
        <v>77</v>
      </c>
      <c r="AP2" s="76" t="s">
        <v>76</v>
      </c>
      <c r="AQ2" s="16"/>
      <c r="AR2" s="78"/>
      <c r="AS2" s="17"/>
      <c r="AT2" s="17"/>
      <c r="AU2" s="18"/>
      <c r="AV2" s="19"/>
      <c r="AW2" s="20"/>
      <c r="AX2" s="21"/>
      <c r="AY2" s="77"/>
      <c r="AZ2" s="22"/>
      <c r="BA2" s="22"/>
      <c r="BB2" s="77"/>
      <c r="BC2" s="53"/>
      <c r="BD2" s="79"/>
      <c r="BE2" s="81"/>
      <c r="BF2" s="80"/>
      <c r="BG2" s="81"/>
      <c r="BH2" s="54"/>
      <c r="BI2" s="33"/>
      <c r="BJ2" s="25"/>
      <c r="BK2" s="53"/>
      <c r="BL2" s="26"/>
      <c r="BM2" s="58"/>
      <c r="BN2" s="20"/>
      <c r="BO2" s="83"/>
      <c r="BP2" s="85"/>
      <c r="BQ2" s="35"/>
      <c r="BR2" s="61"/>
      <c r="BS2" s="54"/>
      <c r="BT2" s="10">
        <v>56</v>
      </c>
      <c r="BU2" s="27">
        <v>35</v>
      </c>
      <c r="BV2" s="9">
        <v>6</v>
      </c>
      <c r="BW2" s="9">
        <v>2</v>
      </c>
      <c r="BX2" s="9">
        <v>2</v>
      </c>
      <c r="BY2" s="9">
        <v>3</v>
      </c>
      <c r="BZ2" s="9">
        <v>2</v>
      </c>
      <c r="CA2" s="9">
        <v>3</v>
      </c>
      <c r="CB2" s="9">
        <v>3</v>
      </c>
      <c r="CC2" s="9">
        <v>6</v>
      </c>
      <c r="CD2" s="9">
        <v>8</v>
      </c>
      <c r="CE2" s="9">
        <v>10</v>
      </c>
      <c r="CF2" s="9">
        <v>12</v>
      </c>
      <c r="CG2" s="9">
        <v>15</v>
      </c>
      <c r="CH2" s="9" t="b">
        <v>1</v>
      </c>
      <c r="CI2" s="13" t="b">
        <v>1</v>
      </c>
      <c r="CJ2" s="15">
        <v>43647</v>
      </c>
      <c r="CK2" s="15">
        <v>43679</v>
      </c>
      <c r="CL2" s="9">
        <v>6</v>
      </c>
      <c r="CM2" s="9">
        <v>10</v>
      </c>
      <c r="CN2" s="9">
        <v>12</v>
      </c>
      <c r="CO2" s="9">
        <v>15</v>
      </c>
      <c r="CP2" s="9" t="b">
        <v>1</v>
      </c>
      <c r="CQ2" s="13" t="b">
        <v>1</v>
      </c>
      <c r="CR2" s="15">
        <v>43617</v>
      </c>
      <c r="CS2" s="15">
        <v>43672</v>
      </c>
      <c r="CT2" s="56" t="s">
        <v>129</v>
      </c>
      <c r="CU2" s="56" t="b">
        <v>1</v>
      </c>
      <c r="CV2" s="56" t="b">
        <v>1</v>
      </c>
      <c r="CW2" s="52" t="b">
        <v>1</v>
      </c>
      <c r="CX2" s="52" t="b">
        <v>1</v>
      </c>
      <c r="CY2" s="62" t="b">
        <v>1</v>
      </c>
      <c r="CZ2" s="52">
        <v>2000</v>
      </c>
      <c r="DA2" s="52">
        <v>2050</v>
      </c>
      <c r="DB2" s="89">
        <v>36526</v>
      </c>
      <c r="DC2" s="89">
        <v>54789</v>
      </c>
      <c r="DD2" s="89">
        <v>44692</v>
      </c>
      <c r="LO2" s="48">
        <v>1</v>
      </c>
      <c r="LP2" s="12" t="s">
        <v>245</v>
      </c>
      <c r="LQ2" s="49" t="s">
        <v>285</v>
      </c>
      <c r="LR2" s="49" t="s">
        <v>286</v>
      </c>
      <c r="LS2" s="49" t="s">
        <v>246</v>
      </c>
      <c r="LT2" s="12" t="s">
        <v>247</v>
      </c>
      <c r="LU2" s="12"/>
      <c r="LV2" s="50">
        <v>44669</v>
      </c>
    </row>
    <row r="3" spans="1:335">
      <c r="A3" s="10"/>
      <c r="B3" s="10"/>
      <c r="C3" s="9"/>
      <c r="D3" s="9"/>
      <c r="E3" s="9"/>
      <c r="F3" s="9"/>
      <c r="G3" s="9"/>
      <c r="H3" s="9"/>
      <c r="I3" s="9"/>
      <c r="J3" s="9"/>
      <c r="K3" s="9"/>
      <c r="L3" s="9"/>
      <c r="M3" s="9"/>
      <c r="N3" s="9"/>
      <c r="O3" s="9"/>
      <c r="P3" s="9"/>
      <c r="Q3" s="9"/>
      <c r="R3" s="9"/>
      <c r="S3" s="9"/>
      <c r="T3" s="9"/>
      <c r="U3" s="9"/>
      <c r="V3" s="9"/>
      <c r="W3" s="9"/>
      <c r="X3" s="9"/>
      <c r="Y3" s="9"/>
      <c r="Z3" s="9"/>
      <c r="AA3" s="9"/>
      <c r="AB3" s="9"/>
      <c r="AC3" s="9"/>
      <c r="AD3" s="9"/>
      <c r="AE3" s="9"/>
      <c r="AF3" s="9"/>
      <c r="AG3" s="9"/>
      <c r="AH3" s="9"/>
      <c r="AI3" s="9"/>
      <c r="AJ3" s="9"/>
      <c r="AK3" s="9"/>
      <c r="AL3" s="9"/>
      <c r="AM3" s="9"/>
      <c r="AN3" s="9"/>
      <c r="AO3" s="76" t="s">
        <v>76</v>
      </c>
      <c r="AP3" s="76"/>
      <c r="AQ3" s="16"/>
      <c r="AR3" s="28"/>
      <c r="AS3" s="17"/>
      <c r="AT3" s="17"/>
      <c r="AU3" s="18"/>
      <c r="AV3" s="19"/>
      <c r="AW3" s="20"/>
      <c r="AX3" s="29"/>
      <c r="AY3" s="79"/>
      <c r="AZ3" s="22"/>
      <c r="BA3" s="22"/>
      <c r="BB3" s="86"/>
      <c r="BC3" s="24"/>
      <c r="BD3" s="79"/>
      <c r="BE3" s="81"/>
      <c r="BF3" s="80"/>
      <c r="BG3" s="81"/>
      <c r="BH3" s="23"/>
      <c r="BI3" s="24"/>
      <c r="BJ3" s="33"/>
      <c r="BK3" s="24"/>
      <c r="BL3" s="34"/>
      <c r="BM3" s="59"/>
      <c r="BN3" s="20"/>
      <c r="BO3" s="83"/>
      <c r="BP3" s="85"/>
      <c r="BQ3" s="35"/>
      <c r="BR3" s="61"/>
      <c r="BS3" s="54"/>
      <c r="BT3" s="9"/>
      <c r="BU3" s="9"/>
      <c r="BV3" s="9"/>
      <c r="BW3" s="9"/>
      <c r="BX3" s="9"/>
      <c r="BY3" s="9"/>
      <c r="BZ3" s="9"/>
      <c r="CA3" s="9"/>
      <c r="CB3" s="9"/>
      <c r="CC3" s="9"/>
      <c r="CD3" s="9"/>
      <c r="CE3" s="9"/>
      <c r="CF3" s="9"/>
      <c r="CG3" s="9"/>
      <c r="CH3" s="9"/>
      <c r="CI3" s="9"/>
      <c r="CJ3" s="9"/>
      <c r="CK3" s="9"/>
      <c r="CL3" s="9"/>
      <c r="CM3" s="9"/>
      <c r="CN3" s="9"/>
      <c r="CO3" s="9"/>
      <c r="CP3" s="9"/>
      <c r="CQ3" s="9"/>
      <c r="CR3" s="9"/>
      <c r="CS3" s="9"/>
      <c r="CT3" s="56"/>
      <c r="CU3" s="56"/>
      <c r="CV3" s="56"/>
    </row>
    <row r="4" spans="1:335">
      <c r="A4" s="10"/>
      <c r="B4" s="10"/>
      <c r="C4" s="9"/>
      <c r="D4" s="9"/>
      <c r="E4" s="9"/>
      <c r="F4" s="9"/>
      <c r="G4" s="9"/>
      <c r="H4" s="9"/>
      <c r="I4" s="9"/>
      <c r="J4" s="9"/>
      <c r="K4" s="9"/>
      <c r="L4" s="9"/>
      <c r="M4" s="9"/>
      <c r="N4" s="9"/>
      <c r="O4" s="9"/>
      <c r="P4" s="9"/>
      <c r="Q4"/>
      <c r="R4"/>
      <c r="S4"/>
      <c r="T4"/>
      <c r="U4"/>
      <c r="V4"/>
      <c r="W4" s="9"/>
      <c r="X4" s="9"/>
      <c r="Y4" s="9"/>
      <c r="Z4" s="9"/>
      <c r="AA4" s="9"/>
      <c r="AB4" s="9"/>
      <c r="AC4" s="9"/>
      <c r="AD4" s="9"/>
      <c r="AE4" s="9"/>
      <c r="AF4" s="9"/>
      <c r="AG4" s="9"/>
      <c r="AH4" s="9"/>
      <c r="AI4" s="9"/>
      <c r="AJ4" s="9"/>
      <c r="AK4" s="9"/>
      <c r="AL4" s="9"/>
      <c r="AM4" s="9"/>
      <c r="AN4" s="9"/>
      <c r="AO4" s="76" t="s">
        <v>78</v>
      </c>
      <c r="AP4" s="76"/>
      <c r="AQ4" s="23"/>
      <c r="AR4" s="35"/>
      <c r="AS4" s="36"/>
      <c r="AT4" s="36"/>
      <c r="AU4" s="37"/>
      <c r="AV4" s="28"/>
      <c r="AW4" s="20"/>
      <c r="AX4" s="38"/>
      <c r="AY4" s="39"/>
      <c r="AZ4" s="84"/>
      <c r="BA4" s="84"/>
      <c r="BB4" s="36"/>
      <c r="BC4" s="23"/>
      <c r="BD4" s="79"/>
      <c r="BE4" s="81"/>
      <c r="BF4" s="80"/>
      <c r="BG4" s="81"/>
      <c r="BH4" s="32"/>
      <c r="BI4" s="40"/>
      <c r="BJ4" s="76"/>
      <c r="BK4" s="76"/>
      <c r="BL4" s="34"/>
      <c r="BM4" s="55"/>
      <c r="BN4" s="20"/>
      <c r="BO4" s="83"/>
      <c r="BP4" s="85"/>
      <c r="BQ4" s="35"/>
      <c r="BR4" s="61"/>
      <c r="BS4" s="54"/>
      <c r="BT4" s="9"/>
      <c r="BU4" s="9"/>
      <c r="BV4" s="9"/>
      <c r="BW4" s="9"/>
      <c r="BX4" s="9"/>
      <c r="BY4" s="9"/>
      <c r="BZ4" s="9"/>
      <c r="CA4" s="9"/>
      <c r="CB4" s="9"/>
      <c r="CC4" s="9"/>
      <c r="CD4" s="9"/>
      <c r="CE4" s="9"/>
      <c r="CF4" s="9"/>
      <c r="CG4" s="9"/>
      <c r="CH4" s="9"/>
      <c r="CI4" s="9"/>
      <c r="CJ4" s="9"/>
      <c r="CK4" s="9"/>
      <c r="CL4" s="9"/>
      <c r="CM4" s="9"/>
      <c r="CN4" s="9"/>
      <c r="CO4" s="9"/>
      <c r="CP4" s="9"/>
      <c r="CQ4" s="9"/>
      <c r="CR4" s="9"/>
      <c r="CS4" s="9"/>
      <c r="CT4" s="56"/>
      <c r="CU4" s="56"/>
      <c r="CV4" s="56"/>
    </row>
    <row r="5" spans="1:335">
      <c r="A5" s="10"/>
      <c r="B5" s="10"/>
      <c r="C5" s="9"/>
      <c r="D5" s="9"/>
      <c r="E5" s="9"/>
      <c r="F5" s="9"/>
      <c r="G5" s="9"/>
      <c r="H5" s="9"/>
      <c r="I5" s="9"/>
      <c r="J5" s="9"/>
      <c r="K5" s="9"/>
      <c r="L5" s="9"/>
      <c r="M5" s="9"/>
      <c r="N5" s="9"/>
      <c r="O5" s="9"/>
      <c r="P5" s="9"/>
      <c r="Q5"/>
      <c r="R5"/>
      <c r="S5"/>
      <c r="T5"/>
      <c r="U5"/>
      <c r="V5"/>
      <c r="W5" s="9"/>
      <c r="X5" s="9"/>
      <c r="Y5" s="9"/>
      <c r="Z5" s="9"/>
      <c r="AA5" s="9"/>
      <c r="AB5" s="9"/>
      <c r="AC5" s="9"/>
      <c r="AD5" s="9"/>
      <c r="AE5" s="9"/>
      <c r="AF5" s="9"/>
      <c r="AG5" s="9"/>
      <c r="AH5" s="9"/>
      <c r="AI5" s="9"/>
      <c r="AJ5" s="9"/>
      <c r="AK5" s="9"/>
      <c r="AL5" s="9"/>
      <c r="AM5" s="9"/>
      <c r="AN5" s="9"/>
      <c r="AO5" s="76" t="s">
        <v>75</v>
      </c>
      <c r="AP5" s="76"/>
      <c r="AQ5" s="41"/>
      <c r="AR5" s="82"/>
      <c r="AS5" s="42"/>
      <c r="AT5" s="42"/>
      <c r="AU5" s="43"/>
      <c r="AV5" s="44"/>
      <c r="AW5" s="20"/>
      <c r="AX5" s="29"/>
      <c r="AY5" s="45"/>
      <c r="AZ5" s="30"/>
      <c r="BA5" s="30"/>
      <c r="BB5" s="34"/>
      <c r="BC5" s="46"/>
      <c r="BD5" s="79"/>
      <c r="BE5" s="81"/>
      <c r="BF5" s="80"/>
      <c r="BG5" s="81"/>
      <c r="BH5" s="47"/>
      <c r="BI5" s="31"/>
      <c r="BJ5" s="55"/>
      <c r="BK5" s="33"/>
      <c r="BL5" s="34"/>
      <c r="BM5" s="55"/>
      <c r="BN5" s="20"/>
      <c r="BO5" s="83"/>
      <c r="BP5" s="85"/>
      <c r="BQ5" s="35"/>
      <c r="BR5" s="61"/>
      <c r="BS5" s="54"/>
      <c r="BT5" s="9"/>
      <c r="BU5" s="9"/>
      <c r="BV5" s="9"/>
      <c r="BW5" s="9"/>
      <c r="BX5" s="9"/>
      <c r="BY5" s="9"/>
      <c r="BZ5" s="9"/>
      <c r="CA5" s="9"/>
      <c r="CB5" s="9"/>
      <c r="CC5" s="9"/>
      <c r="CD5" s="9"/>
      <c r="CE5" s="9"/>
      <c r="CF5" s="9"/>
      <c r="CG5" s="9"/>
      <c r="CH5" s="9"/>
      <c r="CI5" s="9"/>
      <c r="CJ5" s="9"/>
      <c r="CK5" s="9"/>
      <c r="CL5" s="9"/>
      <c r="CM5" s="9"/>
      <c r="CN5" s="9"/>
      <c r="CO5" s="9"/>
      <c r="CP5" s="9"/>
      <c r="CQ5" s="9"/>
      <c r="CR5" s="9"/>
      <c r="CS5" s="9"/>
      <c r="CT5" s="56"/>
      <c r="CU5" s="56"/>
      <c r="CV5" s="56"/>
    </row>
    <row r="6" spans="1:335">
      <c r="A6" s="10"/>
      <c r="B6" s="10"/>
      <c r="C6" s="10"/>
      <c r="D6" s="10"/>
      <c r="E6" s="10"/>
      <c r="F6" s="10"/>
      <c r="G6" s="10"/>
      <c r="H6" s="10"/>
      <c r="I6" s="10"/>
      <c r="J6" s="10"/>
      <c r="K6" s="10"/>
      <c r="L6" s="76"/>
      <c r="M6" s="76"/>
      <c r="N6" s="10"/>
      <c r="O6" s="10"/>
      <c r="P6" s="10"/>
      <c r="Q6"/>
      <c r="R6"/>
      <c r="S6"/>
      <c r="T6"/>
      <c r="U6"/>
      <c r="V6"/>
      <c r="W6" s="10"/>
      <c r="X6" s="10"/>
      <c r="Y6" s="10"/>
      <c r="Z6" s="10"/>
      <c r="AA6" s="10"/>
      <c r="AB6" s="10"/>
      <c r="AC6" s="10"/>
      <c r="AD6" s="10"/>
      <c r="AE6" s="10"/>
      <c r="AF6" s="10"/>
      <c r="AG6" s="10"/>
      <c r="AH6" s="10"/>
      <c r="AI6" s="10"/>
      <c r="AJ6" s="10"/>
      <c r="AK6" s="10"/>
      <c r="AL6" s="10"/>
      <c r="AM6" s="10"/>
      <c r="AN6" s="10"/>
      <c r="AO6" s="76" t="s">
        <v>79</v>
      </c>
      <c r="AP6" s="76"/>
      <c r="AQ6" s="16"/>
      <c r="AR6" s="28"/>
      <c r="AS6" s="17"/>
      <c r="AT6" s="17"/>
      <c r="AU6" s="18"/>
      <c r="AV6" s="19"/>
      <c r="AW6" s="20"/>
      <c r="AX6" s="29"/>
      <c r="AY6" s="79"/>
      <c r="AZ6" s="22"/>
      <c r="BA6" s="22"/>
      <c r="BB6" s="86"/>
      <c r="BC6" s="24"/>
      <c r="BD6" s="79"/>
      <c r="BE6" s="81"/>
      <c r="BF6" s="80"/>
      <c r="BG6" s="81"/>
      <c r="BH6" s="23"/>
      <c r="BI6" s="24"/>
      <c r="BJ6" s="33"/>
      <c r="BK6" s="24"/>
      <c r="BL6" s="34"/>
      <c r="BM6" s="59"/>
      <c r="BN6" s="20"/>
      <c r="BO6" s="83"/>
      <c r="BP6" s="85"/>
      <c r="BQ6" s="35"/>
      <c r="BR6" s="61"/>
      <c r="BS6" s="54"/>
      <c r="BT6" s="10"/>
      <c r="BU6" s="10"/>
      <c r="BV6" s="10"/>
      <c r="BW6" s="10"/>
      <c r="BX6" s="10"/>
      <c r="BY6" s="10"/>
      <c r="BZ6" s="10"/>
      <c r="CA6" s="10"/>
      <c r="CB6" s="10"/>
      <c r="CC6" s="10"/>
      <c r="CD6" s="10"/>
      <c r="CE6" s="10"/>
      <c r="CF6" s="10"/>
      <c r="CG6" s="10"/>
      <c r="CH6" s="10"/>
      <c r="CI6" s="10"/>
      <c r="CJ6" s="10"/>
      <c r="CK6" s="10"/>
      <c r="CL6" s="10"/>
      <c r="CM6" s="10"/>
      <c r="CN6" s="10"/>
      <c r="CO6" s="10"/>
      <c r="CP6" s="10"/>
      <c r="CQ6" s="10"/>
      <c r="CR6" s="10"/>
      <c r="CS6" s="10"/>
      <c r="CT6" s="56"/>
      <c r="CU6" s="56"/>
      <c r="CV6" s="56"/>
    </row>
    <row r="7" spans="1:335">
      <c r="A7" s="10"/>
      <c r="B7" s="10"/>
      <c r="C7" s="10"/>
      <c r="D7" s="10"/>
      <c r="E7" s="10"/>
      <c r="F7" s="10"/>
      <c r="G7" s="10"/>
      <c r="H7" s="10"/>
      <c r="I7" s="10"/>
      <c r="J7" s="10"/>
      <c r="K7" s="10"/>
      <c r="L7" s="76"/>
      <c r="M7" s="76"/>
      <c r="N7" s="10"/>
      <c r="O7" s="10"/>
      <c r="P7" s="10"/>
      <c r="Q7" s="10"/>
      <c r="R7" s="10"/>
      <c r="S7" s="10"/>
      <c r="T7" s="10"/>
      <c r="U7" s="10"/>
      <c r="V7" s="10"/>
      <c r="W7" s="10"/>
      <c r="X7" s="10"/>
      <c r="Y7" s="10"/>
      <c r="Z7" s="10"/>
      <c r="AA7" s="10"/>
      <c r="AB7" s="10"/>
      <c r="AC7" s="10"/>
      <c r="AD7" s="10"/>
      <c r="AE7" s="10"/>
      <c r="AF7" s="10"/>
      <c r="AG7" s="10"/>
      <c r="AH7" s="10"/>
      <c r="AI7" s="10"/>
      <c r="AJ7" s="10"/>
      <c r="AK7" s="10"/>
      <c r="AL7" s="10"/>
      <c r="AM7" s="10"/>
      <c r="AN7" s="10"/>
      <c r="AO7" s="76"/>
      <c r="AP7" s="76"/>
      <c r="AQ7" s="16"/>
      <c r="AR7" s="28"/>
      <c r="AS7" s="17"/>
      <c r="AT7" s="17"/>
      <c r="AU7" s="18"/>
      <c r="AV7" s="19"/>
      <c r="AW7" s="20"/>
      <c r="AX7" s="29"/>
      <c r="AY7" s="79"/>
      <c r="AZ7" s="22"/>
      <c r="BA7" s="22"/>
      <c r="BB7" s="86"/>
      <c r="BC7" s="24"/>
      <c r="BD7" s="79"/>
      <c r="BE7" s="81"/>
      <c r="BF7" s="80"/>
      <c r="BG7" s="81"/>
      <c r="BH7" s="23"/>
      <c r="BI7" s="24"/>
      <c r="BJ7" s="33"/>
      <c r="BK7" s="24"/>
      <c r="BL7" s="34"/>
      <c r="BM7" s="59"/>
      <c r="BN7" s="20"/>
      <c r="BO7" s="83"/>
      <c r="BP7" s="85"/>
      <c r="BQ7" s="35"/>
      <c r="BR7" s="61"/>
      <c r="BS7" s="54"/>
      <c r="BT7" s="10"/>
      <c r="BU7" s="10"/>
      <c r="BV7" s="10"/>
      <c r="BW7" s="10"/>
      <c r="BX7" s="10"/>
      <c r="BY7" s="10"/>
      <c r="BZ7" s="10"/>
      <c r="CA7" s="10"/>
      <c r="CB7" s="10"/>
      <c r="CC7" s="10"/>
      <c r="CD7" s="10"/>
      <c r="CE7" s="10"/>
      <c r="CF7" s="10"/>
      <c r="CG7" s="10"/>
      <c r="CH7" s="10"/>
      <c r="CI7" s="10"/>
      <c r="CJ7" s="10"/>
      <c r="CK7" s="10"/>
      <c r="CL7" s="10"/>
      <c r="CM7" s="10"/>
      <c r="CN7" s="10"/>
      <c r="CO7" s="10"/>
      <c r="CP7" s="10"/>
      <c r="CQ7" s="10"/>
      <c r="CR7" s="10"/>
      <c r="CS7" s="10"/>
      <c r="CT7" s="56"/>
      <c r="CU7" s="56"/>
      <c r="CV7" s="56"/>
    </row>
    <row r="8" spans="1:335">
      <c r="A8" s="56"/>
      <c r="C8" s="56"/>
      <c r="D8" s="56"/>
      <c r="E8" s="56"/>
      <c r="F8" s="56"/>
      <c r="G8" s="56"/>
      <c r="H8" s="56"/>
      <c r="I8" s="56"/>
      <c r="J8" s="56"/>
      <c r="K8" s="56"/>
      <c r="N8" s="56"/>
      <c r="O8" s="56"/>
      <c r="P8" s="56"/>
      <c r="Q8" s="56"/>
      <c r="R8" s="56"/>
      <c r="S8" s="56"/>
      <c r="T8" s="56"/>
      <c r="U8" s="56"/>
      <c r="V8" s="56"/>
      <c r="W8" s="56"/>
      <c r="X8" s="56"/>
      <c r="Y8" s="56"/>
      <c r="Z8" s="56"/>
      <c r="AA8" s="56"/>
      <c r="AB8" s="56"/>
      <c r="AC8" s="56"/>
      <c r="AD8" s="56"/>
      <c r="AE8" s="56"/>
      <c r="AF8" s="56"/>
      <c r="AG8" s="56"/>
      <c r="AH8" s="56"/>
      <c r="AI8" s="56"/>
      <c r="AJ8" s="56"/>
      <c r="AK8" s="56"/>
      <c r="AL8" s="56"/>
      <c r="AM8" s="56"/>
      <c r="AN8" s="56"/>
      <c r="AO8" s="56"/>
      <c r="AP8" s="56"/>
      <c r="AQ8" s="56"/>
      <c r="AR8" s="56"/>
      <c r="AS8" s="56"/>
      <c r="AU8" s="56"/>
      <c r="AV8" s="56"/>
      <c r="AW8" s="56"/>
      <c r="AX8" s="56"/>
      <c r="AY8" s="56"/>
      <c r="AZ8" s="56"/>
      <c r="BA8" s="56"/>
      <c r="BB8" s="56"/>
      <c r="BC8" s="56"/>
      <c r="BD8" s="56"/>
      <c r="BE8" s="56"/>
      <c r="BF8" s="56"/>
      <c r="BG8" s="56"/>
      <c r="BH8" s="56"/>
      <c r="BI8" s="56"/>
      <c r="BJ8" s="56"/>
      <c r="BK8" s="56"/>
      <c r="BL8" s="56"/>
      <c r="BT8" s="56"/>
      <c r="BU8" s="56"/>
      <c r="BV8" s="56"/>
      <c r="BW8" s="56"/>
      <c r="BX8" s="56"/>
      <c r="BY8" s="56"/>
      <c r="BZ8" s="56"/>
      <c r="CA8" s="56"/>
      <c r="CB8" s="56"/>
      <c r="CC8" s="56"/>
      <c r="CD8" s="56"/>
      <c r="CE8" s="56"/>
      <c r="CF8" s="56"/>
      <c r="CG8" s="56"/>
      <c r="CH8" s="56"/>
      <c r="CI8" s="56"/>
      <c r="CJ8" s="56"/>
      <c r="CK8" s="56"/>
      <c r="CL8" s="56"/>
      <c r="CM8" s="56"/>
      <c r="CN8" s="56"/>
      <c r="CO8" s="56"/>
      <c r="CP8" s="56"/>
      <c r="CQ8" s="56"/>
      <c r="CR8" s="56"/>
      <c r="CS8" s="56"/>
      <c r="CT8" s="56"/>
      <c r="CU8" s="56"/>
      <c r="CV8" s="56"/>
    </row>
    <row r="9" spans="1:335">
      <c r="A9" s="56"/>
      <c r="C9" s="56"/>
      <c r="D9" s="56"/>
      <c r="E9" s="56"/>
      <c r="F9" s="56"/>
      <c r="G9" s="56"/>
      <c r="H9" s="56"/>
      <c r="I9" s="56"/>
      <c r="J9" s="56"/>
      <c r="K9" s="56"/>
      <c r="N9" s="56"/>
      <c r="O9" s="56"/>
      <c r="P9" s="56"/>
      <c r="Q9" s="56"/>
      <c r="R9" s="56"/>
      <c r="S9" s="56"/>
      <c r="T9" s="56"/>
      <c r="U9" s="56"/>
      <c r="V9" s="56"/>
      <c r="W9" s="56"/>
      <c r="X9" s="56"/>
      <c r="Y9" s="56"/>
      <c r="Z9" s="56"/>
      <c r="AA9" s="56"/>
      <c r="AB9" s="56"/>
      <c r="AC9" s="56"/>
      <c r="AD9" s="56"/>
      <c r="AE9" s="56"/>
      <c r="AF9" s="56"/>
      <c r="AG9" s="56"/>
      <c r="AH9" s="56"/>
      <c r="AI9" s="56"/>
      <c r="AJ9" s="56"/>
      <c r="AK9" s="56"/>
      <c r="AL9" s="56"/>
      <c r="AM9" s="56"/>
      <c r="AN9" s="56"/>
      <c r="AO9" s="56"/>
      <c r="AP9" s="56"/>
      <c r="AQ9" s="56"/>
      <c r="AR9" s="56"/>
      <c r="AS9" s="56"/>
      <c r="AU9" s="56"/>
      <c r="AV9" s="56"/>
      <c r="AW9" s="56"/>
      <c r="AX9" s="56"/>
      <c r="AY9" s="56"/>
      <c r="AZ9" s="56"/>
      <c r="BA9" s="56"/>
      <c r="BB9" s="56"/>
      <c r="BC9" s="56"/>
      <c r="BD9" s="56"/>
      <c r="BE9" s="56"/>
      <c r="BF9" s="56"/>
      <c r="BG9" s="56"/>
      <c r="BH9" s="56"/>
      <c r="BI9" s="56"/>
      <c r="BJ9" s="56"/>
      <c r="BK9" s="56"/>
      <c r="BL9" s="56"/>
      <c r="BT9" s="56"/>
      <c r="BU9" s="56"/>
      <c r="BV9" s="56"/>
      <c r="BW9" s="56"/>
      <c r="BX9" s="56"/>
      <c r="BY9" s="56"/>
      <c r="BZ9" s="56"/>
      <c r="CA9" s="56"/>
      <c r="CB9" s="56"/>
      <c r="CC9" s="56"/>
      <c r="CD9" s="56"/>
      <c r="CE9" s="56"/>
      <c r="CF9" s="56"/>
      <c r="CG9" s="56"/>
      <c r="CH9" s="56"/>
      <c r="CI9" s="56"/>
      <c r="CJ9" s="56"/>
      <c r="CK9" s="56"/>
      <c r="CL9" s="56"/>
      <c r="CM9" s="56"/>
      <c r="CN9" s="56"/>
      <c r="CO9" s="56"/>
      <c r="CP9" s="56"/>
      <c r="CQ9" s="56"/>
      <c r="CR9" s="56"/>
      <c r="CS9" s="56"/>
      <c r="CT9" s="56"/>
      <c r="CU9" s="56"/>
      <c r="CV9" s="56"/>
    </row>
    <row r="10" spans="1:335">
      <c r="A10" s="56"/>
      <c r="C10" s="56"/>
      <c r="D10" s="56"/>
      <c r="E10" s="56"/>
      <c r="F10" s="56"/>
      <c r="G10" s="56"/>
      <c r="H10" s="56"/>
      <c r="I10" s="56"/>
      <c r="J10" s="56"/>
      <c r="K10" s="56"/>
      <c r="N10" s="56"/>
      <c r="O10" s="56"/>
      <c r="P10" s="56"/>
      <c r="Q10" s="56"/>
      <c r="R10" s="56"/>
      <c r="S10" s="56"/>
      <c r="T10" s="56"/>
      <c r="U10" s="56"/>
      <c r="V10" s="56"/>
      <c r="W10" s="56"/>
      <c r="X10" s="56"/>
      <c r="Y10" s="56"/>
      <c r="Z10" s="56"/>
      <c r="AA10" s="56"/>
      <c r="AB10" s="56"/>
      <c r="AC10" s="56"/>
      <c r="AD10" s="56"/>
      <c r="AE10" s="56"/>
      <c r="AF10" s="56"/>
      <c r="AG10" s="56"/>
      <c r="AH10" s="56"/>
      <c r="AI10" s="56"/>
      <c r="AJ10" s="56"/>
      <c r="AK10" s="56"/>
      <c r="AL10" s="56"/>
      <c r="AM10" s="56"/>
      <c r="AN10" s="56"/>
      <c r="AO10" s="56"/>
      <c r="AP10" s="56"/>
      <c r="AQ10" s="56"/>
      <c r="AR10" s="56"/>
      <c r="AS10" s="56"/>
      <c r="AU10" s="56"/>
      <c r="AV10" s="56"/>
      <c r="AW10" s="56"/>
      <c r="AX10" s="56"/>
      <c r="AY10" s="56"/>
      <c r="AZ10" s="56"/>
      <c r="BA10" s="56"/>
      <c r="BB10" s="56"/>
      <c r="BC10" s="56"/>
      <c r="BD10" s="56"/>
      <c r="BE10" s="56"/>
      <c r="BF10" s="56"/>
      <c r="BG10" s="56"/>
      <c r="BH10" s="56"/>
      <c r="BI10" s="56"/>
      <c r="BJ10" s="56"/>
      <c r="BK10" s="56"/>
      <c r="BL10" s="56"/>
      <c r="BT10" s="56"/>
      <c r="BU10" s="56"/>
      <c r="BV10" s="56"/>
      <c r="BW10" s="56"/>
      <c r="BX10" s="56"/>
      <c r="BY10" s="56"/>
      <c r="BZ10" s="56"/>
      <c r="CA10" s="56"/>
      <c r="CB10" s="56"/>
      <c r="CC10" s="56"/>
      <c r="CD10" s="56"/>
      <c r="CE10" s="56"/>
      <c r="CF10" s="56"/>
      <c r="CG10" s="56"/>
      <c r="CH10" s="56"/>
      <c r="CI10" s="56"/>
      <c r="CJ10" s="56"/>
      <c r="CK10" s="56"/>
      <c r="CL10" s="56"/>
      <c r="CM10" s="56"/>
      <c r="CN10" s="56"/>
      <c r="CO10" s="56"/>
      <c r="CP10" s="56"/>
      <c r="CQ10" s="56"/>
      <c r="CR10" s="56"/>
      <c r="CS10" s="56"/>
      <c r="CT10" s="56"/>
      <c r="CU10" s="56"/>
      <c r="CV10" s="56"/>
    </row>
  </sheetData>
  <sheetProtection formatCells="0" formatColumns="0" formatRows="0" insertHyperlinks="0" autoFilter="0"/>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GDT"/>
  <dimension ref="A1:BA62"/>
  <sheetViews>
    <sheetView showGridLines="0" showRowColHeaders="0" zoomScaleNormal="100" workbookViewId="0">
      <selection activeCell="N1" sqref="N1:XFD1048576"/>
    </sheetView>
  </sheetViews>
  <sheetFormatPr defaultColWidth="0" defaultRowHeight="13.8"/>
  <cols>
    <col min="1" max="1" width="1" style="98" customWidth="1"/>
    <col min="2" max="6" width="15.69921875" customWidth="1"/>
    <col min="7" max="7" width="15.69921875" style="98" customWidth="1"/>
    <col min="8" max="13" width="15.69921875" customWidth="1"/>
    <col min="14" max="15" width="15.69921875" hidden="1" customWidth="1"/>
    <col min="16" max="16" width="6.09765625" hidden="1" customWidth="1"/>
    <col min="17" max="17" width="10.296875" hidden="1" customWidth="1"/>
    <col min="18" max="18" width="10.69921875" hidden="1" customWidth="1"/>
    <col min="19" max="19" width="6" hidden="1" customWidth="1"/>
    <col min="20" max="20" width="9.69921875" hidden="1" customWidth="1"/>
    <col min="21" max="21" width="11.296875" hidden="1" customWidth="1"/>
    <col min="22" max="22" width="11.8984375" hidden="1" customWidth="1"/>
    <col min="23" max="23" width="10.09765625" hidden="1" customWidth="1"/>
    <col min="24" max="24" width="9.69921875" hidden="1" customWidth="1"/>
    <col min="25" max="25" width="10.09765625" hidden="1" customWidth="1"/>
    <col min="26" max="26" width="6" hidden="1" customWidth="1"/>
    <col min="27" max="27" width="10.3984375" hidden="1" customWidth="1"/>
    <col min="28" max="28" width="9.69921875" hidden="1" customWidth="1"/>
    <col min="29" max="30" width="6.09765625" hidden="1" customWidth="1"/>
    <col min="31" max="16384" width="6" hidden="1"/>
  </cols>
  <sheetData>
    <row r="1" spans="1:53" s="2" customFormat="1" ht="11.25" customHeight="1">
      <c r="A1" s="117"/>
      <c r="B1" s="117"/>
      <c r="C1" s="92"/>
      <c r="D1" s="92"/>
      <c r="E1" s="92"/>
      <c r="F1" s="92"/>
      <c r="G1" s="92"/>
      <c r="H1" s="92"/>
      <c r="I1" s="111"/>
      <c r="J1" s="111"/>
      <c r="K1" s="111"/>
      <c r="L1" s="111"/>
      <c r="M1" s="111"/>
      <c r="N1" s="111"/>
      <c r="O1" s="111"/>
      <c r="P1" s="118" t="s">
        <v>196</v>
      </c>
      <c r="Q1" s="118" t="s">
        <v>197</v>
      </c>
      <c r="R1" s="118" t="s">
        <v>198</v>
      </c>
      <c r="S1" s="118" t="s">
        <v>9</v>
      </c>
      <c r="T1" s="118" t="s">
        <v>199</v>
      </c>
      <c r="U1" s="118" t="s">
        <v>224</v>
      </c>
      <c r="V1" s="118" t="s">
        <v>201</v>
      </c>
      <c r="W1" s="118" t="s">
        <v>201</v>
      </c>
      <c r="X1" s="118" t="s">
        <v>200</v>
      </c>
      <c r="Y1" s="118" t="s">
        <v>202</v>
      </c>
      <c r="Z1" s="118" t="s">
        <v>203</v>
      </c>
      <c r="AA1" s="118" t="s">
        <v>204</v>
      </c>
      <c r="AB1" s="118" t="s">
        <v>205</v>
      </c>
      <c r="AC1" s="118" t="s">
        <v>3</v>
      </c>
      <c r="AD1" s="118" t="s">
        <v>206</v>
      </c>
      <c r="AE1" s="118" t="s">
        <v>207</v>
      </c>
      <c r="AF1" s="118" t="s">
        <v>208</v>
      </c>
      <c r="AG1" s="118" t="s">
        <v>209</v>
      </c>
      <c r="AH1" s="118"/>
      <c r="AI1" s="118"/>
      <c r="AJ1" s="118"/>
      <c r="AK1" s="118"/>
      <c r="AL1" s="118"/>
      <c r="AM1" s="118"/>
      <c r="AN1" s="118"/>
      <c r="AO1" s="118"/>
      <c r="AP1" s="118"/>
      <c r="AQ1" s="118"/>
      <c r="AR1" s="118"/>
      <c r="AS1" s="118" t="s">
        <v>238</v>
      </c>
      <c r="AT1" s="118" t="s">
        <v>239</v>
      </c>
      <c r="AU1" s="118"/>
      <c r="AV1" s="118"/>
      <c r="AW1" s="118"/>
      <c r="AX1" s="118" t="s">
        <v>214</v>
      </c>
      <c r="AY1" s="118" t="s">
        <v>221</v>
      </c>
      <c r="AZ1" s="118" t="s">
        <v>222</v>
      </c>
    </row>
    <row r="2" spans="1:53" s="2" customFormat="1" ht="19.8" thickBot="1">
      <c r="A2" s="108"/>
      <c r="B2" s="274"/>
      <c r="C2" s="274"/>
      <c r="D2" s="274"/>
      <c r="E2" s="274"/>
      <c r="F2" s="107"/>
      <c r="G2" s="107"/>
      <c r="H2" s="108"/>
      <c r="I2" s="109"/>
      <c r="J2" s="109"/>
      <c r="K2" s="109"/>
      <c r="L2" s="109"/>
      <c r="M2" s="110"/>
      <c r="N2" s="110"/>
      <c r="O2" s="109"/>
      <c r="P2" s="118" t="s">
        <v>194</v>
      </c>
      <c r="Q2" s="118" t="s">
        <v>210</v>
      </c>
      <c r="R2" s="118" t="s">
        <v>210</v>
      </c>
      <c r="S2" s="118"/>
      <c r="T2" s="118">
        <v>0.5</v>
      </c>
      <c r="U2" s="119">
        <v>1000</v>
      </c>
      <c r="V2" s="119">
        <v>2000</v>
      </c>
      <c r="W2" s="119">
        <v>200</v>
      </c>
      <c r="X2" s="119">
        <v>100</v>
      </c>
      <c r="Y2" s="119">
        <v>500</v>
      </c>
      <c r="Z2" s="118" t="s">
        <v>8</v>
      </c>
      <c r="AA2" s="120">
        <v>44398</v>
      </c>
      <c r="AB2" s="120">
        <v>44411</v>
      </c>
      <c r="AC2" s="118">
        <v>5</v>
      </c>
      <c r="AD2" s="118">
        <v>0</v>
      </c>
      <c r="AE2" s="118">
        <v>0</v>
      </c>
      <c r="AF2" s="118">
        <v>5</v>
      </c>
      <c r="AG2" s="118">
        <v>0</v>
      </c>
      <c r="AH2" s="118"/>
      <c r="AI2" s="118"/>
      <c r="AJ2" s="118"/>
      <c r="AK2" s="118"/>
      <c r="AL2" s="118"/>
      <c r="AM2" s="118"/>
      <c r="AN2" s="118"/>
      <c r="AO2" s="118"/>
      <c r="AP2" s="118"/>
      <c r="AQ2" s="118"/>
      <c r="AR2" s="118"/>
      <c r="AS2" s="118" t="str">
        <f>$Z$2&amp;" "&amp;$U$2</f>
        <v>$ 1000</v>
      </c>
      <c r="AT2" s="118" t="str">
        <f>$Z$2&amp;" "&amp;$Y$2</f>
        <v>$ 500</v>
      </c>
      <c r="AU2" s="118"/>
      <c r="AV2" s="118" t="str">
        <f>IF($AX$2=0,"Planned",IF($AX$2=1,"Completed","In-Progress"))</f>
        <v>In-Progress</v>
      </c>
      <c r="AW2" s="118"/>
      <c r="AX2" s="121">
        <f>T2</f>
        <v>0.5</v>
      </c>
      <c r="AY2" s="121">
        <f>1-AX2</f>
        <v>0.5</v>
      </c>
      <c r="AZ2" s="122">
        <f>IFERROR((Y2-U2)/U2,0)</f>
        <v>-0.5</v>
      </c>
      <c r="BA2" s="114" t="str">
        <f>IF(AZ2&gt;0,TEXT(AZ2,"##%") &amp; " Over Target","")</f>
        <v/>
      </c>
    </row>
    <row r="3" spans="1:53" s="2" customFormat="1" ht="15" customHeight="1" thickTop="1">
      <c r="A3" s="124"/>
      <c r="B3" s="276" t="s">
        <v>11</v>
      </c>
      <c r="C3" s="276"/>
      <c r="D3" s="276"/>
      <c r="E3" s="276"/>
      <c r="F3"/>
      <c r="G3" s="98"/>
      <c r="H3"/>
      <c r="P3" s="118">
        <v>0</v>
      </c>
      <c r="Q3" s="118" t="s">
        <v>211</v>
      </c>
      <c r="R3" s="118" t="s">
        <v>211</v>
      </c>
      <c r="S3" s="118"/>
      <c r="T3" s="118">
        <v>0</v>
      </c>
      <c r="U3" s="119">
        <v>1000</v>
      </c>
      <c r="V3" s="119">
        <v>2000</v>
      </c>
      <c r="W3" s="119">
        <v>200</v>
      </c>
      <c r="X3" s="119">
        <v>100</v>
      </c>
      <c r="Y3" s="119">
        <v>300</v>
      </c>
      <c r="Z3" s="118" t="s">
        <v>8</v>
      </c>
      <c r="AA3" s="120">
        <v>44398</v>
      </c>
      <c r="AB3" s="120">
        <v>44411</v>
      </c>
      <c r="AC3" s="118">
        <v>5</v>
      </c>
      <c r="AD3" s="118">
        <v>0</v>
      </c>
      <c r="AE3" s="118">
        <v>0</v>
      </c>
      <c r="AF3" s="118">
        <v>5</v>
      </c>
      <c r="AG3" s="118">
        <v>0</v>
      </c>
      <c r="AH3" s="118"/>
      <c r="AI3" s="118"/>
      <c r="AJ3" s="118"/>
      <c r="AK3" s="118"/>
      <c r="AL3" s="118"/>
      <c r="AM3" s="118"/>
      <c r="AN3" s="118"/>
      <c r="AO3" s="118"/>
      <c r="AP3" s="118"/>
      <c r="AQ3" s="118"/>
      <c r="AR3" s="118"/>
      <c r="AS3" s="118"/>
      <c r="AT3" s="118"/>
      <c r="AU3" s="118"/>
      <c r="AV3" s="118"/>
      <c r="AW3" s="118"/>
      <c r="AX3" s="118"/>
      <c r="AY3" s="118"/>
      <c r="AZ3" s="118"/>
    </row>
    <row r="4" spans="1:53" s="2" customFormat="1" ht="15" customHeight="1">
      <c r="A4" s="98"/>
      <c r="B4"/>
      <c r="C4"/>
      <c r="D4" s="101" t="s">
        <v>10</v>
      </c>
      <c r="E4" s="102" t="str">
        <f>AV2</f>
        <v>In-Progress</v>
      </c>
      <c r="F4" s="6"/>
      <c r="G4" s="98"/>
      <c r="H4"/>
      <c r="P4" s="118">
        <v>1</v>
      </c>
      <c r="Q4" s="118" t="s">
        <v>212</v>
      </c>
      <c r="R4" s="118" t="s">
        <v>195</v>
      </c>
      <c r="S4" s="118" t="s">
        <v>213</v>
      </c>
      <c r="T4" s="118">
        <v>0</v>
      </c>
      <c r="U4" s="119">
        <v>1000</v>
      </c>
      <c r="V4" s="119">
        <v>2000</v>
      </c>
      <c r="W4" s="119">
        <v>200</v>
      </c>
      <c r="X4" s="119">
        <v>100</v>
      </c>
      <c r="Y4" s="119">
        <v>300</v>
      </c>
      <c r="Z4" s="118" t="s">
        <v>8</v>
      </c>
      <c r="AA4" s="120">
        <v>44398</v>
      </c>
      <c r="AB4" s="120">
        <v>44411</v>
      </c>
      <c r="AC4" s="118">
        <v>5</v>
      </c>
      <c r="AD4" s="118">
        <v>0</v>
      </c>
      <c r="AE4" s="118">
        <v>0</v>
      </c>
      <c r="AF4" s="118">
        <v>5</v>
      </c>
      <c r="AG4" s="118">
        <v>0</v>
      </c>
      <c r="AH4" s="118"/>
      <c r="AI4" s="118"/>
      <c r="AJ4" s="118"/>
      <c r="AK4" s="118"/>
      <c r="AL4" s="118"/>
      <c r="AM4" s="118"/>
      <c r="AN4" s="118"/>
      <c r="AO4" s="118"/>
      <c r="AP4" s="118"/>
      <c r="AQ4" s="118"/>
      <c r="AR4" s="118"/>
      <c r="AS4" s="118"/>
      <c r="AT4" s="118"/>
      <c r="AU4" s="118"/>
      <c r="AV4" s="118"/>
      <c r="AW4" s="118"/>
      <c r="AX4" s="118"/>
      <c r="AY4" s="118"/>
      <c r="AZ4" s="118"/>
    </row>
    <row r="5" spans="1:53" s="2" customFormat="1" ht="15" customHeight="1">
      <c r="A5" s="98"/>
      <c r="B5"/>
      <c r="C5"/>
      <c r="D5" s="103" t="s">
        <v>9</v>
      </c>
      <c r="E5" s="102" t="str">
        <f>IF(S2 = "","",S2)</f>
        <v/>
      </c>
      <c r="F5" s="6"/>
      <c r="G5" s="98"/>
      <c r="H5"/>
    </row>
    <row r="6" spans="1:53" s="2" customFormat="1" ht="15" customHeight="1">
      <c r="A6" s="98"/>
      <c r="B6"/>
      <c r="C6"/>
      <c r="D6" s="103" t="s">
        <v>7</v>
      </c>
      <c r="E6" s="104">
        <f>AA2</f>
        <v>44398</v>
      </c>
      <c r="F6" s="5"/>
      <c r="G6" s="98"/>
      <c r="H6"/>
      <c r="J6" s="13"/>
      <c r="K6" s="13"/>
      <c r="L6" s="13"/>
      <c r="M6" s="13"/>
      <c r="N6" s="13"/>
      <c r="O6" s="13"/>
    </row>
    <row r="7" spans="1:53" s="2" customFormat="1" ht="15" customHeight="1">
      <c r="A7" s="98"/>
      <c r="B7"/>
      <c r="C7"/>
      <c r="D7" s="103" t="s">
        <v>5</v>
      </c>
      <c r="E7" s="104">
        <f>AB2</f>
        <v>44411</v>
      </c>
      <c r="F7" s="5"/>
      <c r="G7" s="98"/>
      <c r="H7"/>
      <c r="J7" s="13"/>
      <c r="K7" s="13"/>
      <c r="L7" s="13"/>
      <c r="M7" s="13"/>
      <c r="N7" s="13"/>
      <c r="O7" s="13"/>
    </row>
    <row r="8" spans="1:53" s="2" customFormat="1" ht="15" customHeight="1">
      <c r="A8" s="98"/>
      <c r="B8"/>
      <c r="C8"/>
      <c r="D8" s="115"/>
      <c r="E8" s="116"/>
      <c r="F8" s="4"/>
      <c r="G8" s="98"/>
      <c r="H8"/>
      <c r="J8" s="13"/>
      <c r="K8" s="13"/>
      <c r="L8" s="13"/>
      <c r="M8" s="13"/>
      <c r="N8" s="13"/>
      <c r="O8" s="13"/>
    </row>
    <row r="9" spans="1:53" s="2" customFormat="1" ht="15" customHeight="1">
      <c r="A9" s="98"/>
      <c r="B9" s="271"/>
      <c r="C9" s="272"/>
      <c r="D9" s="101" t="s">
        <v>3</v>
      </c>
      <c r="E9" s="105">
        <f>AC2</f>
        <v>5</v>
      </c>
      <c r="F9" s="4"/>
      <c r="G9" s="98"/>
      <c r="H9"/>
    </row>
    <row r="10" spans="1:53" s="2" customFormat="1" ht="15" customHeight="1">
      <c r="A10" s="98"/>
      <c r="B10"/>
      <c r="C10"/>
      <c r="D10" s="103" t="s">
        <v>56</v>
      </c>
      <c r="E10" s="105">
        <f>AD2</f>
        <v>0</v>
      </c>
      <c r="F10" s="4"/>
      <c r="G10" s="98"/>
      <c r="H10"/>
    </row>
    <row r="11" spans="1:53" s="2" customFormat="1" ht="15" customHeight="1">
      <c r="A11" s="98"/>
      <c r="B11"/>
      <c r="C11"/>
      <c r="D11" s="103" t="s">
        <v>57</v>
      </c>
      <c r="E11" s="105">
        <f>AE2</f>
        <v>0</v>
      </c>
      <c r="F11" s="4"/>
      <c r="G11" s="98"/>
      <c r="H11"/>
    </row>
    <row r="12" spans="1:53" s="2" customFormat="1" ht="15" customHeight="1">
      <c r="A12" s="98"/>
      <c r="B12"/>
      <c r="C12"/>
      <c r="D12" s="103" t="s">
        <v>58</v>
      </c>
      <c r="E12" s="105">
        <f>AF2</f>
        <v>5</v>
      </c>
      <c r="F12" s="3"/>
      <c r="G12" s="98"/>
      <c r="H12"/>
    </row>
    <row r="13" spans="1:53" s="2" customFormat="1" ht="15" customHeight="1">
      <c r="A13" s="98"/>
      <c r="B13" s="97"/>
      <c r="C13" s="97"/>
      <c r="D13" s="103" t="s">
        <v>59</v>
      </c>
      <c r="E13" s="106">
        <f>AG2</f>
        <v>0</v>
      </c>
      <c r="F13" s="3"/>
      <c r="G13" s="98"/>
      <c r="H13" s="97"/>
    </row>
    <row r="14" spans="1:53" s="2" customFormat="1" ht="15" customHeight="1">
      <c r="A14" s="98"/>
      <c r="B14" s="97"/>
      <c r="C14" s="97"/>
      <c r="D14" s="100"/>
      <c r="E14" s="99"/>
      <c r="F14" s="3"/>
      <c r="G14" s="98"/>
      <c r="H14" s="97"/>
    </row>
    <row r="15" spans="1:53" s="2" customFormat="1" ht="15.6">
      <c r="A15" s="98"/>
      <c r="B15" s="275"/>
      <c r="C15" s="275"/>
      <c r="D15" s="275"/>
      <c r="E15" s="275"/>
      <c r="F15" s="113"/>
      <c r="G15" s="98"/>
      <c r="H15"/>
    </row>
    <row r="16" spans="1:53" s="7" customFormat="1" ht="15" customHeight="1">
      <c r="A16" s="98"/>
      <c r="B16" s="1"/>
      <c r="C16" s="1"/>
      <c r="D16" s="125"/>
      <c r="E16" s="125"/>
      <c r="F16" s="1"/>
      <c r="G16" s="98"/>
      <c r="H16" s="1"/>
    </row>
    <row r="17" spans="1:8" s="2" customFormat="1">
      <c r="A17" s="98"/>
      <c r="B17"/>
      <c r="C17"/>
      <c r="D17" s="1"/>
      <c r="E17" s="1"/>
      <c r="F17"/>
      <c r="G17" s="98"/>
      <c r="H17"/>
    </row>
    <row r="18" spans="1:8" s="2" customFormat="1" ht="15" customHeight="1">
      <c r="A18" s="98"/>
      <c r="B18"/>
      <c r="C18"/>
      <c r="D18" s="273" t="str">
        <f>BA2</f>
        <v/>
      </c>
      <c r="E18" s="273"/>
      <c r="F18"/>
      <c r="G18" s="98"/>
      <c r="H18"/>
    </row>
    <row r="19" spans="1:8" s="2" customFormat="1" ht="15" customHeight="1">
      <c r="A19" s="98"/>
      <c r="B19"/>
      <c r="C19"/>
      <c r="D19"/>
      <c r="E19"/>
      <c r="F19"/>
      <c r="G19" s="98"/>
      <c r="H19"/>
    </row>
    <row r="20" spans="1:8" s="2" customFormat="1" ht="15" customHeight="1">
      <c r="A20" s="98"/>
      <c r="B20" s="270"/>
      <c r="C20" s="270"/>
      <c r="D20"/>
      <c r="E20"/>
      <c r="F20"/>
      <c r="G20" s="98"/>
      <c r="H20"/>
    </row>
    <row r="21" spans="1:8" s="2" customFormat="1" ht="15" customHeight="1">
      <c r="A21" s="98"/>
      <c r="B21"/>
      <c r="C21"/>
      <c r="D21" s="8"/>
      <c r="E21"/>
      <c r="F21"/>
      <c r="G21" s="98"/>
      <c r="H21"/>
    </row>
    <row r="22" spans="1:8" s="2" customFormat="1" ht="15" customHeight="1">
      <c r="A22" s="98"/>
      <c r="B22"/>
      <c r="C22"/>
      <c r="D22"/>
      <c r="E22"/>
      <c r="F22"/>
      <c r="G22" s="98"/>
      <c r="H22"/>
    </row>
    <row r="23" spans="1:8" s="2" customFormat="1" ht="15" customHeight="1">
      <c r="A23" s="98"/>
      <c r="B23"/>
      <c r="C23"/>
      <c r="D23"/>
      <c r="E23"/>
      <c r="F23"/>
      <c r="G23" s="98"/>
      <c r="H23"/>
    </row>
    <row r="24" spans="1:8" s="2" customFormat="1" ht="15" customHeight="1">
      <c r="A24" s="98"/>
      <c r="B24"/>
      <c r="C24"/>
      <c r="D24"/>
      <c r="E24"/>
      <c r="F24"/>
      <c r="G24" s="98"/>
      <c r="H24"/>
    </row>
    <row r="25" spans="1:8" s="2" customFormat="1" ht="15" customHeight="1">
      <c r="A25" s="98"/>
      <c r="B25"/>
      <c r="C25"/>
      <c r="D25"/>
      <c r="E25"/>
      <c r="F25"/>
      <c r="G25" s="98"/>
      <c r="H25"/>
    </row>
    <row r="26" spans="1:8" s="7" customFormat="1" ht="15" customHeight="1">
      <c r="A26" s="98"/>
      <c r="B26"/>
      <c r="C26"/>
      <c r="D26"/>
      <c r="E26"/>
      <c r="F26"/>
      <c r="G26" s="98"/>
      <c r="H26"/>
    </row>
    <row r="27" spans="1:8" s="2" customFormat="1" ht="15" customHeight="1">
      <c r="A27" s="98"/>
      <c r="B27" s="1"/>
      <c r="C27" s="1"/>
      <c r="D27"/>
      <c r="E27"/>
      <c r="F27" s="1"/>
      <c r="G27" s="98"/>
      <c r="H27" s="1"/>
    </row>
    <row r="28" spans="1:8" s="2" customFormat="1" ht="15" customHeight="1">
      <c r="A28" s="98"/>
      <c r="B28"/>
      <c r="C28"/>
      <c r="D28" s="1"/>
      <c r="E28" s="1"/>
      <c r="F28"/>
      <c r="G28" s="98"/>
      <c r="H28"/>
    </row>
    <row r="29" spans="1:8" s="2" customFormat="1" ht="15" customHeight="1">
      <c r="A29" s="98"/>
      <c r="B29"/>
      <c r="C29"/>
      <c r="D29"/>
      <c r="E29"/>
      <c r="F29"/>
      <c r="G29" s="98"/>
      <c r="H29"/>
    </row>
    <row r="30" spans="1:8" s="2" customFormat="1" ht="15" customHeight="1">
      <c r="A30" s="98"/>
      <c r="B30"/>
      <c r="C30"/>
      <c r="D30"/>
      <c r="E30"/>
      <c r="F30"/>
      <c r="G30" s="98"/>
      <c r="H30"/>
    </row>
    <row r="31" spans="1:8" s="2" customFormat="1" ht="15" customHeight="1">
      <c r="A31" s="98"/>
      <c r="B31"/>
      <c r="C31"/>
      <c r="D31"/>
      <c r="E31"/>
      <c r="F31"/>
      <c r="G31" s="98"/>
      <c r="H31"/>
    </row>
    <row r="32" spans="1:8" s="2" customFormat="1" ht="15" customHeight="1">
      <c r="A32" s="98"/>
      <c r="B32"/>
      <c r="C32"/>
      <c r="D32"/>
      <c r="E32"/>
      <c r="F32"/>
      <c r="G32" s="98"/>
      <c r="H32"/>
    </row>
    <row r="33" spans="1:8" s="2" customFormat="1" ht="15" customHeight="1">
      <c r="A33" s="98"/>
      <c r="B33" s="91"/>
      <c r="C33" s="91"/>
      <c r="D33" s="8"/>
      <c r="E33"/>
      <c r="F33" s="91"/>
      <c r="G33" s="98"/>
      <c r="H33" s="91"/>
    </row>
    <row r="34" spans="1:8" s="2" customFormat="1" ht="15" customHeight="1">
      <c r="A34" s="98"/>
      <c r="B34" s="91"/>
      <c r="C34" s="91"/>
      <c r="D34" s="91"/>
      <c r="E34" s="91"/>
      <c r="F34" s="91"/>
      <c r="G34" s="98"/>
      <c r="H34" s="91"/>
    </row>
    <row r="35" spans="1:8" s="2" customFormat="1" ht="15" customHeight="1">
      <c r="A35" s="98"/>
      <c r="B35" s="93"/>
      <c r="C35" s="93"/>
      <c r="D35" s="91"/>
      <c r="E35" s="112"/>
      <c r="F35" s="93"/>
      <c r="G35" s="98"/>
      <c r="H35" s="91"/>
    </row>
    <row r="36" spans="1:8" s="2" customFormat="1" ht="15" customHeight="1">
      <c r="A36" s="98"/>
      <c r="B36" s="93"/>
      <c r="C36" s="93"/>
      <c r="D36" s="93"/>
      <c r="E36" s="93"/>
      <c r="F36" s="93"/>
      <c r="G36" s="98"/>
      <c r="H36" s="91"/>
    </row>
    <row r="37" spans="1:8" s="2" customFormat="1" ht="15" customHeight="1">
      <c r="A37" s="98"/>
      <c r="B37" s="93"/>
      <c r="C37" s="93"/>
      <c r="D37" s="93"/>
      <c r="E37" s="93"/>
      <c r="F37" s="93"/>
      <c r="G37" s="98"/>
      <c r="H37" s="91"/>
    </row>
    <row r="38" spans="1:8" s="2" customFormat="1" ht="15" customHeight="1">
      <c r="A38" s="98"/>
      <c r="B38" s="93"/>
      <c r="C38" s="93"/>
      <c r="D38" s="93"/>
      <c r="E38" s="93"/>
      <c r="F38" s="93"/>
      <c r="G38" s="98"/>
      <c r="H38" s="91"/>
    </row>
    <row r="39" spans="1:8" s="2" customFormat="1" ht="15" customHeight="1">
      <c r="A39" s="98"/>
      <c r="B39" s="93"/>
      <c r="C39" s="93"/>
      <c r="D39" s="93"/>
      <c r="E39" s="93"/>
      <c r="F39" s="93"/>
      <c r="G39" s="98"/>
      <c r="H39" s="91"/>
    </row>
    <row r="40" spans="1:8" s="2" customFormat="1" ht="15" customHeight="1">
      <c r="A40" s="98"/>
      <c r="B40" s="93"/>
      <c r="C40" s="93"/>
      <c r="D40" s="93"/>
      <c r="E40" s="93"/>
      <c r="F40" s="93"/>
      <c r="G40" s="98"/>
      <c r="H40" s="91"/>
    </row>
    <row r="41" spans="1:8" s="2" customFormat="1" ht="15" customHeight="1">
      <c r="A41" s="98"/>
      <c r="B41" s="93"/>
      <c r="C41" s="93"/>
      <c r="D41" s="93"/>
      <c r="E41" s="93"/>
      <c r="F41" s="93"/>
      <c r="G41" s="98"/>
      <c r="H41" s="91"/>
    </row>
    <row r="42" spans="1:8" s="2" customFormat="1" ht="15" customHeight="1">
      <c r="A42" s="98"/>
      <c r="B42"/>
      <c r="C42"/>
      <c r="D42" s="93"/>
      <c r="E42" s="93"/>
      <c r="F42"/>
      <c r="G42" s="98"/>
      <c r="H42"/>
    </row>
    <row r="43" spans="1:8" s="2" customFormat="1" ht="15" customHeight="1">
      <c r="A43" s="98"/>
      <c r="B43" s="1"/>
      <c r="C43" s="1"/>
      <c r="D43"/>
      <c r="E43"/>
      <c r="F43" s="1"/>
      <c r="G43" s="98"/>
      <c r="H43"/>
    </row>
    <row r="44" spans="1:8" s="2" customFormat="1" ht="15" customHeight="1">
      <c r="A44" s="98"/>
      <c r="B44" s="1"/>
      <c r="C44" s="1"/>
      <c r="D44" s="1"/>
      <c r="E44" s="1"/>
      <c r="F44" s="1"/>
      <c r="G44" s="98"/>
      <c r="H44"/>
    </row>
    <row r="45" spans="1:8" ht="15" customHeight="1">
      <c r="D45" s="1"/>
      <c r="E45" s="1"/>
    </row>
    <row r="46" spans="1:8" ht="15" customHeight="1"/>
    <row r="47" spans="1:8" ht="15" customHeight="1"/>
    <row r="48" spans="1:8" ht="15" customHeight="1"/>
    <row r="49" ht="15" customHeight="1"/>
    <row r="50" ht="15" customHeight="1"/>
    <row r="51" ht="15" customHeight="1"/>
    <row r="52" ht="15" customHeight="1"/>
    <row r="53" ht="15" customHeight="1"/>
    <row r="54" ht="15" customHeight="1"/>
    <row r="55" ht="15" customHeight="1"/>
    <row r="56" ht="15" customHeight="1"/>
    <row r="57" ht="15" customHeight="1"/>
    <row r="58" ht="15" customHeight="1"/>
    <row r="59" ht="15" customHeight="1"/>
    <row r="60" ht="15" customHeight="1"/>
    <row r="61" ht="15" customHeight="1"/>
    <row r="62" ht="15" customHeight="1"/>
  </sheetData>
  <sheetProtection formatCells="0" formatColumns="0" formatRows="0" insertHyperlinks="0" autoFilter="0"/>
  <mergeCells count="6">
    <mergeCell ref="B20:C20"/>
    <mergeCell ref="B9:C9"/>
    <mergeCell ref="D18:E18"/>
    <mergeCell ref="B2:E2"/>
    <mergeCell ref="B15:E15"/>
    <mergeCell ref="B3:E3"/>
  </mergeCells>
  <conditionalFormatting sqref="E13:E14">
    <cfRule type="cellIs" dxfId="0" priority="5" operator="greaterThan">
      <formula>0</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tnRefreshDashboard">
              <controlPr defaultSize="0" print="0" autoFill="0" autoPict="0" macro="[0]!refreshdashbutton">
                <anchor>
                  <from>
                    <xdr:col>5</xdr:col>
                    <xdr:colOff>144780</xdr:colOff>
                    <xdr:row>1</xdr:row>
                    <xdr:rowOff>22860</xdr:rowOff>
                  </from>
                  <to>
                    <xdr:col>5</xdr:col>
                    <xdr:colOff>678180</xdr:colOff>
                    <xdr:row>1</xdr:row>
                    <xdr:rowOff>228600</xdr:rowOff>
                  </to>
                </anchor>
              </controlPr>
            </control>
          </mc:Choice>
        </mc:AlternateContent>
      </controls>
    </mc:Choice>
  </mc:AlternateContent>
  <extLst>
    <ext xmlns:x14="http://schemas.microsoft.com/office/spreadsheetml/2009/9/main" uri="{A8765BA9-456A-4dab-B4F3-ACF838C121DE}">
      <x14:slicerList>
        <x14:slicer r:id="rId5"/>
      </x14:slicerList>
    </ext>
    <ext xmlns:x15="http://schemas.microsoft.com/office/spreadsheetml/2010/11/main" uri="{7E03D99C-DC04-49d9-9315-930204A7B6E9}">
      <x15:timelineRefs>
        <x15:timelineRef r:id="rId6"/>
      </x15:timelineRef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PVS"/>
  <dimension ref="A1:BU10"/>
  <sheetViews>
    <sheetView workbookViewId="0">
      <selection activeCell="B93" sqref="B93"/>
    </sheetView>
  </sheetViews>
  <sheetFormatPr defaultRowHeight="13.8"/>
  <cols>
    <col min="1" max="1" width="13.09765625" bestFit="1" customWidth="1"/>
    <col min="2" max="2" width="11.59765625" bestFit="1" customWidth="1"/>
    <col min="6" max="8" width="9.09765625" style="128"/>
    <col min="10" max="11" width="13.09765625" bestFit="1" customWidth="1"/>
    <col min="12" max="12" width="11.59765625" bestFit="1" customWidth="1"/>
    <col min="13" max="13" width="8.69921875" bestFit="1" customWidth="1"/>
    <col min="14" max="14" width="8.296875" bestFit="1" customWidth="1"/>
    <col min="15" max="17" width="8.296875" style="128" customWidth="1"/>
    <col min="18" max="18" width="11.296875" bestFit="1" customWidth="1"/>
    <col min="21" max="21" width="14.296875" bestFit="1" customWidth="1"/>
    <col min="22" max="22" width="7.09765625" bestFit="1" customWidth="1"/>
    <col min="23" max="23" width="11" bestFit="1" customWidth="1"/>
    <col min="24" max="26" width="11" style="128" customWidth="1"/>
    <col min="27" max="27" width="11" bestFit="1" customWidth="1"/>
    <col min="31" max="31" width="12" bestFit="1" customWidth="1"/>
    <col min="32" max="32" width="17.8984375" bestFit="1" customWidth="1"/>
    <col min="33" max="33" width="31.296875" bestFit="1" customWidth="1"/>
    <col min="34" max="35" width="31.296875" style="128" customWidth="1"/>
    <col min="36" max="36" width="31.296875" bestFit="1" customWidth="1"/>
    <col min="37" max="37" width="33.09765625" bestFit="1" customWidth="1"/>
    <col min="38" max="39" width="36.296875" style="127" bestFit="1" customWidth="1"/>
    <col min="40" max="40" width="14.296875" bestFit="1" customWidth="1"/>
    <col min="41" max="41" width="22.296875" bestFit="1" customWidth="1"/>
    <col min="42" max="42" width="13.09765625" bestFit="1" customWidth="1"/>
    <col min="43" max="43" width="11.59765625" bestFit="1" customWidth="1"/>
    <col min="47" max="49" width="9.09765625" style="128"/>
    <col min="53" max="53" width="13.09765625" bestFit="1" customWidth="1"/>
    <col min="54" max="54" width="7.09765625" bestFit="1" customWidth="1"/>
    <col min="57" max="59" width="9.09765625" style="128"/>
    <col min="63" max="63" width="12" bestFit="1" customWidth="1"/>
    <col min="64" max="64" width="7.09765625" bestFit="1" customWidth="1"/>
    <col min="66" max="70" width="9.09765625" style="128"/>
    <col min="72" max="72" width="12" bestFit="1" customWidth="1"/>
    <col min="73" max="73" width="7.09765625" bestFit="1" customWidth="1"/>
    <col min="76" max="76" width="12" bestFit="1" customWidth="1"/>
    <col min="77" max="77" width="17.8984375" bestFit="1" customWidth="1"/>
    <col min="81" max="81" width="12" bestFit="1" customWidth="1"/>
    <col min="82" max="82" width="17.8984375" bestFit="1" customWidth="1"/>
  </cols>
  <sheetData>
    <row r="1" spans="1:73">
      <c r="A1" s="94" t="s">
        <v>215</v>
      </c>
      <c r="B1" s="130" t="s">
        <v>241</v>
      </c>
      <c r="K1" s="94" t="s">
        <v>215</v>
      </c>
      <c r="L1" s="130" t="s">
        <v>241</v>
      </c>
      <c r="U1" s="94" t="s">
        <v>215</v>
      </c>
      <c r="V1" s="130" t="s">
        <v>241</v>
      </c>
      <c r="AE1" s="94" t="s">
        <v>215</v>
      </c>
      <c r="AF1" s="130" t="s">
        <v>241</v>
      </c>
      <c r="AP1" s="94" t="s">
        <v>215</v>
      </c>
      <c r="AQ1" s="130" t="s">
        <v>241</v>
      </c>
      <c r="BA1" s="94" t="s">
        <v>215</v>
      </c>
      <c r="BB1" s="130" t="s">
        <v>241</v>
      </c>
      <c r="BK1" s="94" t="s">
        <v>215</v>
      </c>
      <c r="BL1" s="130" t="s">
        <v>241</v>
      </c>
      <c r="BT1" s="94" t="s">
        <v>215</v>
      </c>
      <c r="BU1" s="130" t="s">
        <v>241</v>
      </c>
    </row>
    <row r="2" spans="1:73">
      <c r="A2" s="94" t="s">
        <v>171</v>
      </c>
      <c r="B2" s="130" t="s">
        <v>241</v>
      </c>
      <c r="K2" s="94" t="s">
        <v>171</v>
      </c>
      <c r="L2" s="130" t="s">
        <v>241</v>
      </c>
      <c r="U2" s="94" t="s">
        <v>171</v>
      </c>
      <c r="V2" s="130" t="s">
        <v>241</v>
      </c>
      <c r="AE2" s="94" t="s">
        <v>234</v>
      </c>
      <c r="AF2" s="130" t="s">
        <v>219</v>
      </c>
      <c r="AP2" s="94" t="s">
        <v>171</v>
      </c>
      <c r="AQ2" s="130" t="s">
        <v>241</v>
      </c>
      <c r="BA2" s="94" t="s">
        <v>171</v>
      </c>
      <c r="BB2" s="130" t="s">
        <v>241</v>
      </c>
      <c r="BK2" s="94" t="s">
        <v>171</v>
      </c>
      <c r="BL2" s="130" t="s">
        <v>241</v>
      </c>
      <c r="BT2" s="94" t="s">
        <v>171</v>
      </c>
      <c r="BU2" s="130" t="s">
        <v>241</v>
      </c>
    </row>
    <row r="3" spans="1:73">
      <c r="AP3" s="123"/>
      <c r="AQ3" s="123"/>
      <c r="BA3" s="127"/>
      <c r="BB3" s="127"/>
    </row>
    <row r="4" spans="1:73">
      <c r="A4" s="94" t="s">
        <v>216</v>
      </c>
      <c r="B4" t="s">
        <v>217</v>
      </c>
      <c r="K4" s="94" t="s">
        <v>216</v>
      </c>
      <c r="L4" t="s">
        <v>217</v>
      </c>
      <c r="U4" s="94" t="s">
        <v>218</v>
      </c>
      <c r="AL4"/>
      <c r="AM4"/>
      <c r="AP4" s="94" t="s">
        <v>216</v>
      </c>
      <c r="AQ4" t="s">
        <v>217</v>
      </c>
      <c r="BA4" s="94" t="s">
        <v>216</v>
      </c>
    </row>
    <row r="5" spans="1:73">
      <c r="A5" s="96" t="s">
        <v>56</v>
      </c>
      <c r="B5" s="95">
        <v>1</v>
      </c>
      <c r="K5" s="96" t="s">
        <v>237</v>
      </c>
      <c r="L5" s="95">
        <v>1</v>
      </c>
      <c r="U5" s="96" t="s">
        <v>192</v>
      </c>
      <c r="V5" s="129"/>
      <c r="AL5"/>
      <c r="AM5"/>
      <c r="AP5" s="126" t="s">
        <v>242</v>
      </c>
      <c r="AQ5" s="95">
        <v>1</v>
      </c>
      <c r="BA5" s="96" t="s">
        <v>235</v>
      </c>
    </row>
    <row r="6" spans="1:73">
      <c r="A6" s="96" t="s">
        <v>244</v>
      </c>
      <c r="B6" s="95">
        <v>1</v>
      </c>
      <c r="K6" s="96" t="s">
        <v>236</v>
      </c>
      <c r="L6" s="95">
        <v>1</v>
      </c>
      <c r="U6" s="96" t="s">
        <v>220</v>
      </c>
      <c r="V6" s="129"/>
      <c r="AL6"/>
      <c r="AM6"/>
      <c r="AP6" s="126" t="s">
        <v>240</v>
      </c>
      <c r="AQ6" s="95">
        <v>3</v>
      </c>
    </row>
    <row r="7" spans="1:73">
      <c r="A7" s="96" t="s">
        <v>59</v>
      </c>
      <c r="B7" s="95">
        <v>1</v>
      </c>
      <c r="K7" s="96" t="s">
        <v>168</v>
      </c>
      <c r="L7" s="95">
        <v>2</v>
      </c>
      <c r="U7" s="96" t="s">
        <v>193</v>
      </c>
      <c r="V7" s="129"/>
      <c r="AL7"/>
      <c r="AM7"/>
    </row>
    <row r="8" spans="1:73">
      <c r="A8" s="96" t="s">
        <v>58</v>
      </c>
      <c r="B8" s="95">
        <v>1</v>
      </c>
      <c r="AL8"/>
      <c r="AM8"/>
    </row>
    <row r="9" spans="1:73">
      <c r="AL9"/>
      <c r="AM9"/>
    </row>
    <row r="10" spans="1:73">
      <c r="AL10"/>
    </row>
  </sheetData>
  <pageMargins left="0.7" right="0.7" top="0.75" bottom="0.75" header="0.3" footer="0.3"/>
  <drawing r:id="rId9"/>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
  <dimension ref="A1:KT36"/>
  <sheetViews>
    <sheetView showGridLines="0" showRowColHeaders="0" tabSelected="1" topLeftCell="H9" zoomScale="85" zoomScaleNormal="85" workbookViewId="0">
      <selection activeCell="K21" sqref="K21"/>
    </sheetView>
  </sheetViews>
  <sheetFormatPr defaultColWidth="0" defaultRowHeight="13.8"/>
  <cols>
    <col min="1" max="7" width="0" style="134" hidden="1" customWidth="1"/>
    <col min="8" max="9" width="2.69921875" style="134" customWidth="1"/>
    <col min="10" max="10" width="4.59765625" style="150" bestFit="1" customWidth="1"/>
    <col min="11" max="11" width="45.69921875" style="136" customWidth="1"/>
    <col min="12" max="12" width="10.69921875" style="138" customWidth="1"/>
    <col min="13" max="13" width="10.69921875" style="134" hidden="1" customWidth="1"/>
    <col min="14" max="14" width="15.69921875" style="136" customWidth="1"/>
    <col min="15" max="18" width="15.69921875" style="137" hidden="1" customWidth="1"/>
    <col min="19" max="20" width="21.69921875" style="137" customWidth="1"/>
    <col min="21" max="21" width="10.69921875" style="137" customWidth="1"/>
    <col min="22" max="22" width="15.69921875" style="134" hidden="1" customWidth="1"/>
    <col min="23" max="23" width="5.69921875" style="134" customWidth="1"/>
    <col min="24" max="24" width="10.69921875" style="135" customWidth="1"/>
    <col min="25" max="30" width="15.69921875" style="137" hidden="1" customWidth="1"/>
    <col min="31" max="31" width="15.69921875" style="139" hidden="1" customWidth="1"/>
    <col min="32" max="55" width="15.69921875" style="134" hidden="1" customWidth="1"/>
    <col min="56" max="56" width="2.69921875" style="134" customWidth="1"/>
    <col min="57" max="296" width="3.796875" customWidth="1"/>
    <col min="297" max="16384" width="10.796875" hidden="1"/>
  </cols>
  <sheetData>
    <row r="1" spans="1:306" hidden="1">
      <c r="A1" s="134" t="s">
        <v>234</v>
      </c>
      <c r="B1" s="134" t="s">
        <v>226</v>
      </c>
      <c r="C1" s="134" t="s">
        <v>227</v>
      </c>
      <c r="D1" s="134" t="s">
        <v>228</v>
      </c>
      <c r="E1" s="134" t="s">
        <v>229</v>
      </c>
      <c r="F1" s="134" t="s">
        <v>230</v>
      </c>
      <c r="G1" s="134" t="s">
        <v>160</v>
      </c>
      <c r="H1" s="134" t="s">
        <v>161</v>
      </c>
      <c r="I1" s="134" t="s">
        <v>231</v>
      </c>
      <c r="J1" s="150" t="s">
        <v>27</v>
      </c>
      <c r="K1" s="136" t="s">
        <v>26</v>
      </c>
      <c r="L1" s="138" t="s">
        <v>137</v>
      </c>
      <c r="M1" s="134" t="s">
        <v>138</v>
      </c>
      <c r="N1" s="136" t="s">
        <v>225</v>
      </c>
      <c r="O1" s="137" t="s">
        <v>232</v>
      </c>
      <c r="P1" s="137" t="s">
        <v>25</v>
      </c>
      <c r="Q1" s="137" t="s">
        <v>24</v>
      </c>
      <c r="R1" s="137" t="s">
        <v>23</v>
      </c>
      <c r="S1" s="137" t="s">
        <v>22</v>
      </c>
      <c r="T1" s="137" t="s">
        <v>20</v>
      </c>
      <c r="U1" s="137" t="s">
        <v>18</v>
      </c>
      <c r="V1" s="134" t="s">
        <v>223</v>
      </c>
      <c r="W1" s="134" t="s">
        <v>233</v>
      </c>
      <c r="X1" s="135" t="s">
        <v>17</v>
      </c>
      <c r="Y1" s="137" t="s">
        <v>21</v>
      </c>
      <c r="Z1" s="137" t="s">
        <v>19</v>
      </c>
      <c r="AA1" s="137" t="s">
        <v>16</v>
      </c>
      <c r="AB1" s="137" t="s">
        <v>15</v>
      </c>
      <c r="AC1" s="137" t="s">
        <v>14</v>
      </c>
      <c r="AD1" s="137" t="s">
        <v>13</v>
      </c>
      <c r="AE1" s="139" t="s">
        <v>12</v>
      </c>
      <c r="AF1" s="134" t="s">
        <v>162</v>
      </c>
      <c r="AG1" s="134" t="s">
        <v>163</v>
      </c>
      <c r="AH1" s="134" t="s">
        <v>164</v>
      </c>
      <c r="AI1" s="134" t="s">
        <v>165</v>
      </c>
      <c r="AJ1" s="134" t="s">
        <v>172</v>
      </c>
      <c r="AK1" s="134" t="s">
        <v>173</v>
      </c>
      <c r="AL1" s="134" t="s">
        <v>174</v>
      </c>
      <c r="AM1" s="134" t="s">
        <v>175</v>
      </c>
      <c r="AN1" s="134" t="s">
        <v>176</v>
      </c>
      <c r="AO1" s="134" t="s">
        <v>177</v>
      </c>
      <c r="AP1" s="134" t="s">
        <v>178</v>
      </c>
      <c r="AQ1" s="134" t="s">
        <v>179</v>
      </c>
      <c r="AR1" s="134" t="s">
        <v>180</v>
      </c>
      <c r="AS1" s="134" t="s">
        <v>181</v>
      </c>
      <c r="AT1" s="134" t="s">
        <v>182</v>
      </c>
      <c r="AU1" s="134" t="s">
        <v>183</v>
      </c>
      <c r="AV1" s="134" t="s">
        <v>184</v>
      </c>
      <c r="AW1" s="134" t="s">
        <v>185</v>
      </c>
      <c r="AX1" s="134" t="s">
        <v>186</v>
      </c>
      <c r="AY1" s="134" t="s">
        <v>187</v>
      </c>
      <c r="AZ1" s="134" t="s">
        <v>188</v>
      </c>
      <c r="BA1" s="134" t="s">
        <v>189</v>
      </c>
      <c r="BB1" s="134" t="s">
        <v>190</v>
      </c>
      <c r="BC1" s="134" t="s">
        <v>191</v>
      </c>
      <c r="BD1" s="134" t="s">
        <v>166</v>
      </c>
      <c r="BE1" t="s">
        <v>279</v>
      </c>
      <c r="KJ1" t="s">
        <v>280</v>
      </c>
    </row>
    <row r="2" spans="1:306" hidden="1">
      <c r="A2" s="134" t="s">
        <v>263</v>
      </c>
      <c r="B2" s="134" t="s">
        <v>263</v>
      </c>
      <c r="C2" s="134" t="s">
        <v>263</v>
      </c>
      <c r="D2" s="134" t="s">
        <v>263</v>
      </c>
      <c r="E2" s="134" t="s">
        <v>263</v>
      </c>
      <c r="F2" s="134" t="s">
        <v>263</v>
      </c>
      <c r="G2" s="134" t="s">
        <v>263</v>
      </c>
      <c r="H2" s="134">
        <v>1</v>
      </c>
      <c r="I2" s="134" t="s">
        <v>263</v>
      </c>
      <c r="J2" s="150" t="s">
        <v>263</v>
      </c>
      <c r="K2" s="136" t="s">
        <v>263</v>
      </c>
      <c r="L2" s="138" t="s">
        <v>263</v>
      </c>
      <c r="M2" s="134" t="s">
        <v>263</v>
      </c>
      <c r="N2" s="136" t="s">
        <v>263</v>
      </c>
      <c r="O2" s="137" t="s">
        <v>263</v>
      </c>
      <c r="P2" s="137" t="s">
        <v>263</v>
      </c>
      <c r="Q2" s="137" t="s">
        <v>263</v>
      </c>
      <c r="R2" s="137" t="s">
        <v>263</v>
      </c>
      <c r="S2" s="137" t="s">
        <v>263</v>
      </c>
      <c r="T2" s="137" t="s">
        <v>263</v>
      </c>
      <c r="U2" s="137" t="s">
        <v>263</v>
      </c>
      <c r="V2" s="134" t="s">
        <v>263</v>
      </c>
      <c r="W2" s="134" t="s">
        <v>263</v>
      </c>
      <c r="X2" s="135" t="s">
        <v>263</v>
      </c>
      <c r="Y2" s="137" t="s">
        <v>263</v>
      </c>
      <c r="Z2" s="137" t="s">
        <v>263</v>
      </c>
      <c r="AA2" s="137" t="s">
        <v>263</v>
      </c>
      <c r="AB2" s="137" t="s">
        <v>263</v>
      </c>
      <c r="AC2" s="137" t="s">
        <v>263</v>
      </c>
      <c r="AD2" s="137" t="s">
        <v>263</v>
      </c>
      <c r="AE2" s="139" t="s">
        <v>263</v>
      </c>
      <c r="AF2" s="134" t="s">
        <v>263</v>
      </c>
      <c r="AG2" s="134" t="s">
        <v>263</v>
      </c>
      <c r="AH2" s="134" t="s">
        <v>263</v>
      </c>
      <c r="AI2" s="134" t="s">
        <v>263</v>
      </c>
      <c r="AJ2" s="134" t="s">
        <v>172</v>
      </c>
      <c r="AK2" s="134" t="s">
        <v>173</v>
      </c>
      <c r="AL2" s="134" t="s">
        <v>174</v>
      </c>
      <c r="AM2" s="134" t="s">
        <v>175</v>
      </c>
      <c r="AN2" s="134" t="s">
        <v>176</v>
      </c>
      <c r="AO2" s="134" t="s">
        <v>177</v>
      </c>
      <c r="AP2" s="134" t="s">
        <v>178</v>
      </c>
      <c r="AQ2" s="134" t="s">
        <v>179</v>
      </c>
      <c r="AR2" s="134" t="s">
        <v>180</v>
      </c>
      <c r="AS2" s="134" t="s">
        <v>181</v>
      </c>
      <c r="AT2" s="134" t="s">
        <v>182</v>
      </c>
      <c r="AU2" s="134" t="s">
        <v>183</v>
      </c>
      <c r="AV2" s="134" t="s">
        <v>184</v>
      </c>
      <c r="AW2" s="134" t="s">
        <v>185</v>
      </c>
      <c r="AX2" s="134" t="s">
        <v>186</v>
      </c>
      <c r="AY2" s="134" t="s">
        <v>187</v>
      </c>
      <c r="AZ2" s="134" t="s">
        <v>188</v>
      </c>
      <c r="BA2" s="134" t="s">
        <v>189</v>
      </c>
      <c r="BB2" s="134" t="s">
        <v>190</v>
      </c>
      <c r="BC2" s="134" t="s">
        <v>191</v>
      </c>
      <c r="BD2" s="134" t="s">
        <v>263</v>
      </c>
    </row>
    <row r="3" spans="1:306" hidden="1"/>
    <row r="4" spans="1:306" hidden="1"/>
    <row r="5" spans="1:306" hidden="1"/>
    <row r="6" spans="1:306" ht="24" customHeight="1">
      <c r="H6" s="140"/>
      <c r="I6" s="140"/>
      <c r="J6" s="151" t="s">
        <v>195</v>
      </c>
      <c r="K6" s="141"/>
      <c r="L6" s="142"/>
      <c r="M6" s="140"/>
      <c r="N6" s="141"/>
      <c r="O6" s="143"/>
      <c r="P6" s="143"/>
      <c r="Q6" s="143"/>
      <c r="R6" s="143"/>
      <c r="S6" s="143"/>
      <c r="T6" s="143"/>
      <c r="U6" s="143"/>
      <c r="V6" s="140"/>
      <c r="W6" s="140"/>
      <c r="X6" s="144"/>
      <c r="Y6" s="143"/>
      <c r="Z6" s="143"/>
      <c r="AA6" s="143"/>
      <c r="AB6" s="143"/>
      <c r="AC6" s="143"/>
      <c r="AD6" s="143"/>
      <c r="AE6" s="145"/>
      <c r="AF6" s="140"/>
      <c r="AG6" s="140"/>
      <c r="AH6" s="140"/>
      <c r="AI6" s="140"/>
      <c r="AJ6" s="140"/>
      <c r="AK6" s="140"/>
      <c r="AL6" s="140"/>
      <c r="AM6" s="140"/>
      <c r="AN6" s="140"/>
      <c r="AO6" s="140"/>
      <c r="AP6" s="140"/>
      <c r="AQ6" s="140"/>
      <c r="AR6" s="140"/>
      <c r="AS6" s="140"/>
      <c r="AT6" s="140"/>
      <c r="AU6" s="140"/>
      <c r="AV6" s="140"/>
      <c r="AW6" s="140"/>
      <c r="AX6" s="140"/>
      <c r="AY6" s="140"/>
      <c r="AZ6" s="140"/>
      <c r="BA6" s="140"/>
      <c r="BB6" s="140"/>
      <c r="BC6" s="140"/>
      <c r="BD6" s="140"/>
      <c r="BE6" s="146">
        <v>44669</v>
      </c>
      <c r="BF6" s="146">
        <v>44669.041666666664</v>
      </c>
      <c r="BG6" s="146">
        <v>44669.083333333336</v>
      </c>
      <c r="BH6" s="146">
        <v>44669.125</v>
      </c>
      <c r="BI6" s="146">
        <v>44669.166666666664</v>
      </c>
      <c r="BJ6" s="146">
        <v>44669.208333333336</v>
      </c>
      <c r="BK6" s="146">
        <v>44669.25</v>
      </c>
      <c r="BL6" s="146">
        <v>44669.291666666664</v>
      </c>
      <c r="BM6" s="146">
        <v>44669.333333333336</v>
      </c>
      <c r="BN6" s="146">
        <v>44669.375</v>
      </c>
      <c r="BO6" s="146">
        <v>44669.416666666664</v>
      </c>
      <c r="BP6" s="146">
        <v>44669.458333333336</v>
      </c>
      <c r="BQ6" s="146">
        <v>44669.5</v>
      </c>
      <c r="BR6" s="146">
        <v>44669.541666666664</v>
      </c>
      <c r="BS6" s="146">
        <v>44669.583333333336</v>
      </c>
      <c r="BT6" s="146">
        <v>44669.625</v>
      </c>
      <c r="BU6" s="146">
        <v>44669.666666666664</v>
      </c>
      <c r="BV6" s="146">
        <v>44669.708333333336</v>
      </c>
      <c r="BW6" s="146">
        <v>44669.75</v>
      </c>
      <c r="BX6" s="146">
        <v>44669.791666666664</v>
      </c>
      <c r="BY6" s="146">
        <v>44669.833333333336</v>
      </c>
      <c r="BZ6" s="146">
        <v>44669.875</v>
      </c>
      <c r="CA6" s="146">
        <v>44669.916666666664</v>
      </c>
      <c r="CB6" s="146">
        <v>44669.958333333336</v>
      </c>
      <c r="CC6" s="146">
        <v>44670</v>
      </c>
      <c r="CD6" s="146">
        <v>44670.041666666664</v>
      </c>
      <c r="CE6" s="146">
        <v>44670.083333333336</v>
      </c>
      <c r="CF6" s="146">
        <v>44670.125</v>
      </c>
      <c r="CG6" s="146">
        <v>44670.166666666664</v>
      </c>
      <c r="CH6" s="146">
        <v>44670.208333333336</v>
      </c>
      <c r="CI6" s="146">
        <v>44670.25</v>
      </c>
      <c r="CJ6" s="146">
        <v>44670.291666666664</v>
      </c>
      <c r="CK6" s="146">
        <v>44670.333333333336</v>
      </c>
      <c r="CL6" s="146">
        <v>44670.375</v>
      </c>
      <c r="CM6" s="146">
        <v>44670.416666666664</v>
      </c>
      <c r="CN6" s="146">
        <v>44670.458333333336</v>
      </c>
      <c r="CO6" s="146">
        <v>44670.5</v>
      </c>
      <c r="CP6" s="146">
        <v>44670.541666666664</v>
      </c>
      <c r="CQ6" s="146">
        <v>44670.583333333336</v>
      </c>
      <c r="CR6" s="146">
        <v>44670.625</v>
      </c>
      <c r="CS6" s="146">
        <v>44670.666666666664</v>
      </c>
      <c r="CT6" s="146">
        <v>44670.708333333336</v>
      </c>
      <c r="CU6" s="146">
        <v>44670.75</v>
      </c>
      <c r="CV6" s="146">
        <v>44670.791666666664</v>
      </c>
      <c r="CW6" s="146">
        <v>44670.833333333336</v>
      </c>
      <c r="CX6" s="146">
        <v>44670.875</v>
      </c>
      <c r="CY6" s="146">
        <v>44670.916666666664</v>
      </c>
      <c r="CZ6" s="146">
        <v>44670.958333333336</v>
      </c>
      <c r="DA6" s="146">
        <v>44671</v>
      </c>
      <c r="DB6" s="146">
        <v>44671.041666666664</v>
      </c>
      <c r="DC6" s="146">
        <v>44671.083333333336</v>
      </c>
      <c r="DD6" s="146">
        <v>44671.125</v>
      </c>
      <c r="DE6" s="146">
        <v>44671.166666666664</v>
      </c>
      <c r="DF6" s="146">
        <v>44671.208333333336</v>
      </c>
      <c r="DG6" s="146">
        <v>44671.25</v>
      </c>
      <c r="DH6" s="146">
        <v>44671.291666666664</v>
      </c>
      <c r="DI6" s="146">
        <v>44671.333333333336</v>
      </c>
      <c r="DJ6" s="146">
        <v>44671.375</v>
      </c>
      <c r="DK6" s="146">
        <v>44671.416666666664</v>
      </c>
      <c r="DL6" s="146">
        <v>44671.458333333336</v>
      </c>
      <c r="DM6" s="146">
        <v>44671.5</v>
      </c>
      <c r="DN6" s="146">
        <v>44671.541666666664</v>
      </c>
      <c r="DO6" s="146">
        <v>44671.583333333336</v>
      </c>
      <c r="DP6" s="146">
        <v>44671.625</v>
      </c>
      <c r="DQ6" s="146">
        <v>44671.666666666664</v>
      </c>
      <c r="DR6" s="146">
        <v>44671.708333333336</v>
      </c>
      <c r="DS6" s="146">
        <v>44671.75</v>
      </c>
      <c r="DT6" s="146">
        <v>44671.791666666664</v>
      </c>
      <c r="DU6" s="146">
        <v>44671.833333333336</v>
      </c>
      <c r="DV6" s="146">
        <v>44671.875</v>
      </c>
      <c r="DW6" s="146">
        <v>44671.916666666664</v>
      </c>
      <c r="DX6" s="146">
        <v>44671.958333333336</v>
      </c>
      <c r="DY6" s="146">
        <v>44672</v>
      </c>
      <c r="DZ6" s="146">
        <v>44672.041666666664</v>
      </c>
      <c r="EA6" s="146">
        <v>44672.083333333336</v>
      </c>
      <c r="EB6" s="146">
        <v>44672.125</v>
      </c>
      <c r="EC6" s="146">
        <v>44672.166666666664</v>
      </c>
      <c r="ED6" s="146">
        <v>44672.208333333336</v>
      </c>
      <c r="EE6" s="146">
        <v>44672.25</v>
      </c>
      <c r="EF6" s="146">
        <v>44672.291666666664</v>
      </c>
      <c r="EG6" s="146">
        <v>44672.333333333336</v>
      </c>
      <c r="EH6" s="146">
        <v>44672.375</v>
      </c>
      <c r="EI6" s="146">
        <v>44672.416666666664</v>
      </c>
      <c r="EJ6" s="146">
        <v>44672.458333333336</v>
      </c>
      <c r="EK6" s="146">
        <v>44672.5</v>
      </c>
      <c r="EL6" s="146">
        <v>44672.541666666664</v>
      </c>
      <c r="EM6" s="146">
        <v>44672.583333333336</v>
      </c>
      <c r="EN6" s="146">
        <v>44672.625</v>
      </c>
      <c r="EO6" s="146">
        <v>44672.666666666664</v>
      </c>
      <c r="EP6" s="146">
        <v>44672.708333333336</v>
      </c>
      <c r="EQ6" s="146">
        <v>44672.75</v>
      </c>
      <c r="ER6" s="146">
        <v>44672.791666666664</v>
      </c>
      <c r="ES6" s="146">
        <v>44672.833333333336</v>
      </c>
      <c r="ET6" s="146">
        <v>44672.875</v>
      </c>
      <c r="EU6" s="146">
        <v>44672.916666666664</v>
      </c>
      <c r="EV6" s="146">
        <v>44672.958333333336</v>
      </c>
      <c r="EW6" s="146">
        <v>44673</v>
      </c>
      <c r="EX6" s="146">
        <v>44673.041666666664</v>
      </c>
      <c r="EY6" s="146">
        <v>44673.083333333336</v>
      </c>
      <c r="EZ6" s="146">
        <v>44673.125</v>
      </c>
      <c r="FA6" s="146">
        <v>44673.166666666664</v>
      </c>
      <c r="FB6" s="146">
        <v>44673.208333333336</v>
      </c>
      <c r="FC6" s="146">
        <v>44673.25</v>
      </c>
      <c r="FD6" s="146">
        <v>44673.291666666664</v>
      </c>
      <c r="FE6" s="146">
        <v>44673.333333333336</v>
      </c>
      <c r="FF6" s="146">
        <v>44673.375</v>
      </c>
      <c r="FG6" s="146">
        <v>44673.416666666664</v>
      </c>
      <c r="FH6" s="146">
        <v>44673.458333333336</v>
      </c>
      <c r="FI6" s="146">
        <v>44673.5</v>
      </c>
      <c r="FJ6" s="146">
        <v>44673.541666666664</v>
      </c>
      <c r="FK6" s="146">
        <v>44673.583333333336</v>
      </c>
      <c r="FL6" s="146">
        <v>44673.625</v>
      </c>
      <c r="FM6" s="146">
        <v>44673.666666666664</v>
      </c>
      <c r="FN6" s="146">
        <v>44673.708333333336</v>
      </c>
      <c r="FO6" s="146">
        <v>44673.75</v>
      </c>
      <c r="FP6" s="146">
        <v>44673.791666666664</v>
      </c>
      <c r="FQ6" s="146">
        <v>44673.833333333336</v>
      </c>
      <c r="FR6" s="146">
        <v>44673.875</v>
      </c>
      <c r="FS6" s="146">
        <v>44673.916666666664</v>
      </c>
      <c r="FT6" s="146">
        <v>44673.958333333336</v>
      </c>
      <c r="FU6" s="146">
        <v>44674</v>
      </c>
      <c r="FV6" s="146">
        <v>44674.041666666664</v>
      </c>
      <c r="FW6" s="146">
        <v>44674.083333333336</v>
      </c>
      <c r="FX6" s="146">
        <v>44674.125</v>
      </c>
      <c r="FY6" s="146">
        <v>44674.166666666664</v>
      </c>
      <c r="FZ6" s="146">
        <v>44674.208333333336</v>
      </c>
      <c r="GA6" s="146">
        <v>44674.25</v>
      </c>
      <c r="GB6" s="146">
        <v>44674.291666666664</v>
      </c>
      <c r="GC6" s="146">
        <v>44674.333333333336</v>
      </c>
      <c r="GD6" s="146">
        <v>44674.375</v>
      </c>
      <c r="GE6" s="146">
        <v>44674.416666666664</v>
      </c>
      <c r="GF6" s="146">
        <v>44674.458333333336</v>
      </c>
      <c r="GG6" s="146">
        <v>44674.5</v>
      </c>
      <c r="GH6" s="146">
        <v>44674.541666666664</v>
      </c>
      <c r="GI6" s="146">
        <v>44674.583333333336</v>
      </c>
      <c r="GJ6" s="146">
        <v>44674.625</v>
      </c>
      <c r="GK6" s="146">
        <v>44674.666666666664</v>
      </c>
      <c r="GL6" s="146">
        <v>44674.708333333336</v>
      </c>
      <c r="GM6" s="146">
        <v>44674.75</v>
      </c>
      <c r="GN6" s="146">
        <v>44674.791666666664</v>
      </c>
      <c r="GO6" s="146">
        <v>44674.833333333336</v>
      </c>
      <c r="GP6" s="146">
        <v>44674.875</v>
      </c>
      <c r="GQ6" s="146">
        <v>44674.916666666664</v>
      </c>
      <c r="GR6" s="146">
        <v>44674.958333333336</v>
      </c>
      <c r="GS6" s="146">
        <v>44675</v>
      </c>
      <c r="GT6" s="146">
        <v>44675.041666666664</v>
      </c>
      <c r="GU6" s="146">
        <v>44675.083333333336</v>
      </c>
      <c r="GV6" s="146">
        <v>44675.125</v>
      </c>
      <c r="GW6" s="146">
        <v>44675.166666666664</v>
      </c>
      <c r="GX6" s="146">
        <v>44675.208333333336</v>
      </c>
      <c r="GY6" s="146">
        <v>44675.25</v>
      </c>
      <c r="GZ6" s="146">
        <v>44675.291666666664</v>
      </c>
      <c r="HA6" s="146">
        <v>44675.333333333336</v>
      </c>
      <c r="HB6" s="146">
        <v>44675.375</v>
      </c>
      <c r="HC6" s="146">
        <v>44675.416666666664</v>
      </c>
      <c r="HD6" s="146">
        <v>44675.458333333336</v>
      </c>
      <c r="HE6" s="146">
        <v>44675.5</v>
      </c>
      <c r="HF6" s="146">
        <v>44675.541666666664</v>
      </c>
      <c r="HG6" s="146">
        <v>44675.583333333336</v>
      </c>
      <c r="HH6" s="146">
        <v>44675.625</v>
      </c>
      <c r="HI6" s="146">
        <v>44675.666666666664</v>
      </c>
      <c r="HJ6" s="146">
        <v>44675.708333333336</v>
      </c>
      <c r="HK6" s="146">
        <v>44675.75</v>
      </c>
      <c r="HL6" s="146">
        <v>44675.791666666664</v>
      </c>
      <c r="HM6" s="146">
        <v>44675.833333333336</v>
      </c>
      <c r="HN6" s="146">
        <v>44675.875</v>
      </c>
      <c r="HO6" s="146">
        <v>44675.916666666664</v>
      </c>
      <c r="HP6" s="146">
        <v>44675.958333333336</v>
      </c>
      <c r="HQ6" s="146">
        <v>44676</v>
      </c>
      <c r="HR6" s="146">
        <v>44676.041666666664</v>
      </c>
      <c r="HS6" s="146">
        <v>44676.083333333336</v>
      </c>
      <c r="HT6" s="146">
        <v>44676.125</v>
      </c>
      <c r="HU6" s="146">
        <v>44676.166666666664</v>
      </c>
      <c r="HV6" s="146">
        <v>44676.208333333336</v>
      </c>
      <c r="HW6" s="146">
        <v>44676.25</v>
      </c>
      <c r="HX6" s="146">
        <v>44676.291666666664</v>
      </c>
      <c r="HY6" s="146">
        <v>44676.333333333336</v>
      </c>
      <c r="HZ6" s="146">
        <v>44676.375</v>
      </c>
      <c r="IA6" s="146">
        <v>44676.416666666664</v>
      </c>
      <c r="IB6" s="146">
        <v>44676.458333333336</v>
      </c>
      <c r="IC6" s="146">
        <v>44676.5</v>
      </c>
      <c r="ID6" s="146">
        <v>44676.541666666664</v>
      </c>
      <c r="IE6" s="146">
        <v>44676.583333333336</v>
      </c>
      <c r="IF6" s="146">
        <v>44676.625</v>
      </c>
      <c r="IG6" s="146">
        <v>44676.666666666664</v>
      </c>
      <c r="IH6" s="146">
        <v>44676.708333333336</v>
      </c>
      <c r="II6" s="146">
        <v>44676.75</v>
      </c>
      <c r="IJ6" s="146">
        <v>44676.791666666664</v>
      </c>
      <c r="IK6" s="146">
        <v>44676.833333333336</v>
      </c>
      <c r="IL6" s="146">
        <v>44676.875</v>
      </c>
      <c r="IM6" s="146">
        <v>44676.916666666664</v>
      </c>
      <c r="IN6" s="146">
        <v>44676.958333333336</v>
      </c>
      <c r="IO6" s="146">
        <v>44677</v>
      </c>
      <c r="IP6" s="146">
        <v>44677.041666666664</v>
      </c>
      <c r="IQ6" s="146">
        <v>44677.083333333336</v>
      </c>
      <c r="IR6" s="146">
        <v>44677.125</v>
      </c>
      <c r="IS6" s="146">
        <v>44677.166666666664</v>
      </c>
      <c r="IT6" s="146">
        <v>44677.208333333336</v>
      </c>
      <c r="IU6" s="146">
        <v>44677.25</v>
      </c>
      <c r="IV6" s="146">
        <v>44677.291666666664</v>
      </c>
      <c r="IW6" s="146">
        <v>44677.333333333336</v>
      </c>
      <c r="IX6" s="146">
        <v>44677.375</v>
      </c>
      <c r="IY6" s="146">
        <v>44677.416666666664</v>
      </c>
      <c r="IZ6" s="146">
        <v>44677.458333333336</v>
      </c>
      <c r="JA6" s="146">
        <v>44677.5</v>
      </c>
      <c r="JB6" s="146">
        <v>44677.541666666664</v>
      </c>
      <c r="JC6" s="146">
        <v>44677.583333333336</v>
      </c>
      <c r="JD6" s="146">
        <v>44677.625</v>
      </c>
      <c r="JE6" s="146">
        <v>44677.666666666664</v>
      </c>
      <c r="JF6" s="146">
        <v>44677.708333333336</v>
      </c>
      <c r="JG6" s="146">
        <v>44677.75</v>
      </c>
      <c r="JH6" s="146">
        <v>44677.791666666664</v>
      </c>
      <c r="JI6" s="146">
        <v>44677.833333333336</v>
      </c>
      <c r="JJ6" s="146">
        <v>44677.875</v>
      </c>
      <c r="JK6" s="146">
        <v>44677.916666666664</v>
      </c>
      <c r="JL6" s="146">
        <v>44677.958333333336</v>
      </c>
      <c r="JM6" s="146">
        <v>44678</v>
      </c>
      <c r="JN6" s="146">
        <v>44678.041666666664</v>
      </c>
      <c r="JO6" s="146">
        <v>44678.083333333336</v>
      </c>
      <c r="JP6" s="146">
        <v>44678.125</v>
      </c>
      <c r="JQ6" s="146">
        <v>44678.166666666664</v>
      </c>
      <c r="JR6" s="146">
        <v>44678.208333333336</v>
      </c>
      <c r="JS6" s="146">
        <v>44678.25</v>
      </c>
      <c r="JT6" s="146">
        <v>44678.291666666664</v>
      </c>
      <c r="JU6" s="146">
        <v>44678.333333333336</v>
      </c>
      <c r="JV6" s="146">
        <v>44678.375</v>
      </c>
      <c r="JW6" s="146">
        <v>44678.416666666664</v>
      </c>
      <c r="JX6" s="146">
        <v>44678.458333333336</v>
      </c>
      <c r="JY6" s="146">
        <v>44678.5</v>
      </c>
      <c r="JZ6" s="146">
        <v>44678.541666666664</v>
      </c>
      <c r="KA6" s="146">
        <v>44678.583333333336</v>
      </c>
      <c r="KB6" s="146">
        <v>44678.625</v>
      </c>
      <c r="KC6" s="146">
        <v>44678.666666666664</v>
      </c>
      <c r="KD6" s="146">
        <v>44678.708333333336</v>
      </c>
      <c r="KE6" s="146">
        <v>44678.75</v>
      </c>
      <c r="KF6" s="146">
        <v>44678.791666666664</v>
      </c>
      <c r="KG6" s="146">
        <v>44678.833333333336</v>
      </c>
      <c r="KH6" s="146">
        <v>44678.875</v>
      </c>
      <c r="KI6" s="146">
        <v>44678.916666666664</v>
      </c>
      <c r="KJ6" s="146">
        <v>44678.958333333336</v>
      </c>
    </row>
    <row r="7" spans="1:306">
      <c r="J7" s="152" t="s">
        <v>284</v>
      </c>
      <c r="BE7" s="261" t="s">
        <v>321</v>
      </c>
      <c r="BF7" s="148"/>
      <c r="BG7" s="148"/>
      <c r="BH7" s="148"/>
      <c r="BI7" s="148"/>
      <c r="BJ7" s="148"/>
      <c r="BK7" s="148"/>
      <c r="BL7" s="148"/>
      <c r="BM7" s="148"/>
      <c r="BN7" s="148"/>
      <c r="BO7" s="148"/>
      <c r="BP7" s="148"/>
      <c r="BQ7" s="148"/>
      <c r="BR7" s="148"/>
      <c r="BS7" s="148"/>
      <c r="BT7" s="148"/>
      <c r="BU7" s="148"/>
      <c r="BV7" s="148"/>
      <c r="BW7" s="148"/>
      <c r="BX7" s="148"/>
      <c r="BY7" s="148"/>
      <c r="BZ7" s="148"/>
      <c r="CA7" s="148"/>
      <c r="CB7" s="148"/>
      <c r="CC7" s="262" t="s">
        <v>322</v>
      </c>
      <c r="CD7" s="147"/>
      <c r="CE7" s="147"/>
      <c r="CF7" s="147"/>
      <c r="CG7" s="147"/>
      <c r="CH7" s="147"/>
      <c r="CI7" s="147"/>
      <c r="CJ7" s="147"/>
      <c r="CK7" s="147"/>
      <c r="CL7" s="147"/>
      <c r="CM7" s="147"/>
      <c r="CN7" s="147"/>
      <c r="CO7" s="147"/>
      <c r="CP7" s="147"/>
      <c r="CQ7" s="147"/>
      <c r="CR7" s="147"/>
      <c r="CS7" s="147"/>
      <c r="CT7" s="147"/>
      <c r="CU7" s="147"/>
      <c r="CV7" s="147"/>
      <c r="CW7" s="147"/>
      <c r="CX7" s="147"/>
      <c r="CY7" s="147"/>
      <c r="CZ7" s="147"/>
      <c r="DA7" s="261" t="s">
        <v>323</v>
      </c>
      <c r="DB7" s="148"/>
      <c r="DC7" s="148"/>
      <c r="DD7" s="148"/>
      <c r="DE7" s="148"/>
      <c r="DF7" s="148"/>
      <c r="DG7" s="148"/>
      <c r="DH7" s="148"/>
      <c r="DI7" s="148"/>
      <c r="DJ7" s="148"/>
      <c r="DK7" s="148"/>
      <c r="DL7" s="148"/>
      <c r="DM7" s="148"/>
      <c r="DN7" s="148"/>
      <c r="DO7" s="148"/>
      <c r="DP7" s="148"/>
      <c r="DQ7" s="148"/>
      <c r="DR7" s="148"/>
      <c r="DS7" s="148"/>
      <c r="DT7" s="148"/>
      <c r="DU7" s="148"/>
      <c r="DV7" s="148"/>
      <c r="DW7" s="148"/>
      <c r="DX7" s="148"/>
      <c r="DY7" s="262" t="s">
        <v>324</v>
      </c>
      <c r="DZ7" s="147"/>
      <c r="EA7" s="147"/>
      <c r="EB7" s="147"/>
      <c r="EC7" s="147"/>
      <c r="ED7" s="147"/>
      <c r="EE7" s="147"/>
      <c r="EF7" s="147"/>
      <c r="EG7" s="147"/>
      <c r="EH7" s="147"/>
      <c r="EI7" s="147"/>
      <c r="EJ7" s="147"/>
      <c r="EK7" s="147"/>
      <c r="EL7" s="147"/>
      <c r="EM7" s="147"/>
      <c r="EN7" s="147"/>
      <c r="EO7" s="147"/>
      <c r="EP7" s="147"/>
      <c r="EQ7" s="147"/>
      <c r="ER7" s="147"/>
      <c r="ES7" s="147"/>
      <c r="ET7" s="147"/>
      <c r="EU7" s="147"/>
      <c r="EV7" s="147"/>
      <c r="EW7" s="261" t="s">
        <v>325</v>
      </c>
      <c r="EX7" s="148"/>
      <c r="EY7" s="148"/>
      <c r="EZ7" s="148"/>
      <c r="FA7" s="148"/>
      <c r="FB7" s="148"/>
      <c r="FC7" s="148"/>
      <c r="FD7" s="148"/>
      <c r="FE7" s="148"/>
      <c r="FF7" s="148"/>
      <c r="FG7" s="148"/>
      <c r="FH7" s="148"/>
      <c r="FI7" s="148"/>
      <c r="FJ7" s="148"/>
      <c r="FK7" s="148"/>
      <c r="FL7" s="148"/>
      <c r="FM7" s="148"/>
      <c r="FN7" s="148"/>
      <c r="FO7" s="148"/>
      <c r="FP7" s="148"/>
      <c r="FQ7" s="148"/>
      <c r="FR7" s="148"/>
      <c r="FS7" s="148"/>
      <c r="FT7" s="148"/>
      <c r="FU7" s="263" t="s">
        <v>326</v>
      </c>
      <c r="FV7" s="264"/>
      <c r="FW7" s="264"/>
      <c r="FX7" s="264"/>
      <c r="FY7" s="264"/>
      <c r="FZ7" s="264"/>
      <c r="GA7" s="264"/>
      <c r="GB7" s="264"/>
      <c r="GC7" s="264"/>
      <c r="GD7" s="264"/>
      <c r="GE7" s="264"/>
      <c r="GF7" s="264"/>
      <c r="GG7" s="264"/>
      <c r="GH7" s="264"/>
      <c r="GI7" s="264"/>
      <c r="GJ7" s="264"/>
      <c r="GK7" s="264"/>
      <c r="GL7" s="264"/>
      <c r="GM7" s="264"/>
      <c r="GN7" s="264"/>
      <c r="GO7" s="264"/>
      <c r="GP7" s="264"/>
      <c r="GQ7" s="264"/>
      <c r="GR7" s="264"/>
      <c r="GS7" s="263" t="s">
        <v>327</v>
      </c>
      <c r="GT7" s="264"/>
      <c r="GU7" s="264"/>
      <c r="GV7" s="264"/>
      <c r="GW7" s="264"/>
      <c r="GX7" s="264"/>
      <c r="GY7" s="264"/>
      <c r="GZ7" s="264"/>
      <c r="HA7" s="264"/>
      <c r="HB7" s="264"/>
      <c r="HC7" s="264"/>
      <c r="HD7" s="264"/>
      <c r="HE7" s="264"/>
      <c r="HF7" s="264"/>
      <c r="HG7" s="264"/>
      <c r="HH7" s="264"/>
      <c r="HI7" s="264"/>
      <c r="HJ7" s="264"/>
      <c r="HK7" s="264"/>
      <c r="HL7" s="264"/>
      <c r="HM7" s="264"/>
      <c r="HN7" s="264"/>
      <c r="HO7" s="264"/>
      <c r="HP7" s="264"/>
      <c r="HQ7" s="262" t="s">
        <v>328</v>
      </c>
      <c r="HR7" s="147"/>
      <c r="HS7" s="147"/>
      <c r="HT7" s="147"/>
      <c r="HU7" s="147"/>
      <c r="HV7" s="147"/>
      <c r="HW7" s="147"/>
      <c r="HX7" s="147"/>
      <c r="HY7" s="147"/>
      <c r="HZ7" s="147"/>
      <c r="IA7" s="147"/>
      <c r="IB7" s="147"/>
      <c r="IC7" s="147"/>
      <c r="ID7" s="147"/>
      <c r="IE7" s="147"/>
      <c r="IF7" s="147"/>
      <c r="IG7" s="147"/>
      <c r="IH7" s="147"/>
      <c r="II7" s="147"/>
      <c r="IJ7" s="147"/>
      <c r="IK7" s="147"/>
      <c r="IL7" s="147"/>
      <c r="IM7" s="147"/>
      <c r="IN7" s="147"/>
      <c r="IO7" s="261" t="s">
        <v>329</v>
      </c>
      <c r="IP7" s="148"/>
      <c r="IQ7" s="148"/>
      <c r="IR7" s="148"/>
      <c r="IS7" s="148"/>
      <c r="IT7" s="148"/>
      <c r="IU7" s="148"/>
      <c r="IV7" s="148"/>
      <c r="IW7" s="148"/>
      <c r="IX7" s="148"/>
      <c r="IY7" s="148"/>
      <c r="IZ7" s="148"/>
      <c r="JA7" s="148"/>
      <c r="JB7" s="148"/>
      <c r="JC7" s="148"/>
      <c r="JD7" s="148"/>
      <c r="JE7" s="148"/>
      <c r="JF7" s="148"/>
      <c r="JG7" s="148"/>
      <c r="JH7" s="148"/>
      <c r="JI7" s="148"/>
      <c r="JJ7" s="148"/>
      <c r="JK7" s="148"/>
      <c r="JL7" s="148"/>
      <c r="JM7" s="262" t="s">
        <v>330</v>
      </c>
      <c r="JN7" s="147"/>
      <c r="JO7" s="147"/>
      <c r="JP7" s="147"/>
      <c r="JQ7" s="147"/>
      <c r="JR7" s="147"/>
      <c r="JS7" s="147"/>
      <c r="JT7" s="147"/>
      <c r="JU7" s="147"/>
      <c r="JV7" s="147"/>
      <c r="JW7" s="147"/>
      <c r="JX7" s="147"/>
      <c r="JY7" s="147"/>
      <c r="JZ7" s="147"/>
      <c r="KA7" s="147"/>
      <c r="KB7" s="147"/>
      <c r="KC7" s="147"/>
      <c r="KD7" s="147"/>
      <c r="KE7" s="147"/>
      <c r="KF7" s="147"/>
      <c r="KG7" s="147"/>
      <c r="KH7" s="147"/>
      <c r="KI7" s="147"/>
      <c r="KJ7" s="147"/>
    </row>
    <row r="8" spans="1:306">
      <c r="H8" s="161"/>
      <c r="I8" s="161"/>
      <c r="J8" s="162" t="s">
        <v>289</v>
      </c>
      <c r="K8" s="163"/>
      <c r="L8" s="164"/>
      <c r="M8" s="161"/>
      <c r="N8" s="163"/>
      <c r="O8" s="165"/>
      <c r="P8" s="165"/>
      <c r="Q8" s="165"/>
      <c r="R8" s="165"/>
      <c r="S8" s="165"/>
      <c r="T8" s="165"/>
      <c r="U8" s="165"/>
      <c r="V8" s="161"/>
      <c r="W8" s="161"/>
      <c r="X8" s="166"/>
      <c r="Y8" s="165"/>
      <c r="Z8" s="165"/>
      <c r="AA8" s="165"/>
      <c r="AB8" s="165"/>
      <c r="AC8" s="165"/>
      <c r="AD8" s="165"/>
      <c r="AE8" s="167"/>
      <c r="AF8" s="161"/>
      <c r="AG8" s="161"/>
      <c r="AH8" s="161"/>
      <c r="AI8" s="161"/>
      <c r="AJ8" s="161"/>
      <c r="AK8" s="161"/>
      <c r="AL8" s="161"/>
      <c r="AM8" s="161"/>
      <c r="AN8" s="161"/>
      <c r="AO8" s="161"/>
      <c r="AP8" s="161"/>
      <c r="AQ8" s="161"/>
      <c r="AR8" s="161"/>
      <c r="AS8" s="161"/>
      <c r="AT8" s="161"/>
      <c r="AU8" s="161"/>
      <c r="AV8" s="161"/>
      <c r="AW8" s="161"/>
      <c r="AX8" s="161"/>
      <c r="AY8" s="161"/>
      <c r="AZ8" s="161"/>
      <c r="BA8" s="161"/>
      <c r="BB8" s="161"/>
      <c r="BC8" s="161"/>
      <c r="BD8" s="168"/>
      <c r="BE8" s="169">
        <v>0</v>
      </c>
      <c r="BF8" s="169">
        <v>1</v>
      </c>
      <c r="BG8" s="169">
        <v>2</v>
      </c>
      <c r="BH8" s="169">
        <v>3</v>
      </c>
      <c r="BI8" s="169">
        <v>4</v>
      </c>
      <c r="BJ8" s="169">
        <v>5</v>
      </c>
      <c r="BK8" s="169">
        <v>6</v>
      </c>
      <c r="BL8" s="169">
        <v>7</v>
      </c>
      <c r="BM8" s="169">
        <v>8</v>
      </c>
      <c r="BN8" s="169">
        <v>9</v>
      </c>
      <c r="BO8" s="169">
        <v>10</v>
      </c>
      <c r="BP8" s="169">
        <v>11</v>
      </c>
      <c r="BQ8" s="169">
        <v>12</v>
      </c>
      <c r="BR8" s="169">
        <v>13</v>
      </c>
      <c r="BS8" s="169">
        <v>14</v>
      </c>
      <c r="BT8" s="169">
        <v>15</v>
      </c>
      <c r="BU8" s="169">
        <v>16</v>
      </c>
      <c r="BV8" s="169">
        <v>17</v>
      </c>
      <c r="BW8" s="169">
        <v>18</v>
      </c>
      <c r="BX8" s="169">
        <v>19</v>
      </c>
      <c r="BY8" s="169">
        <v>20</v>
      </c>
      <c r="BZ8" s="169">
        <v>21</v>
      </c>
      <c r="CA8" s="169">
        <v>22</v>
      </c>
      <c r="CB8" s="169">
        <v>23</v>
      </c>
      <c r="CC8" s="169">
        <v>0</v>
      </c>
      <c r="CD8" s="169">
        <v>1</v>
      </c>
      <c r="CE8" s="169">
        <v>2</v>
      </c>
      <c r="CF8" s="169">
        <v>3</v>
      </c>
      <c r="CG8" s="169">
        <v>4</v>
      </c>
      <c r="CH8" s="169">
        <v>5</v>
      </c>
      <c r="CI8" s="169">
        <v>6</v>
      </c>
      <c r="CJ8" s="169">
        <v>7</v>
      </c>
      <c r="CK8" s="169">
        <v>8</v>
      </c>
      <c r="CL8" s="169">
        <v>9</v>
      </c>
      <c r="CM8" s="169">
        <v>10</v>
      </c>
      <c r="CN8" s="169">
        <v>11</v>
      </c>
      <c r="CO8" s="169">
        <v>12</v>
      </c>
      <c r="CP8" s="169">
        <v>13</v>
      </c>
      <c r="CQ8" s="169">
        <v>14</v>
      </c>
      <c r="CR8" s="169">
        <v>15</v>
      </c>
      <c r="CS8" s="169">
        <v>16</v>
      </c>
      <c r="CT8" s="169">
        <v>17</v>
      </c>
      <c r="CU8" s="169">
        <v>18</v>
      </c>
      <c r="CV8" s="169">
        <v>19</v>
      </c>
      <c r="CW8" s="169">
        <v>20</v>
      </c>
      <c r="CX8" s="169">
        <v>21</v>
      </c>
      <c r="CY8" s="169">
        <v>22</v>
      </c>
      <c r="CZ8" s="169">
        <v>23</v>
      </c>
      <c r="DA8" s="169">
        <v>0</v>
      </c>
      <c r="DB8" s="169">
        <v>1</v>
      </c>
      <c r="DC8" s="169">
        <v>2</v>
      </c>
      <c r="DD8" s="169">
        <v>3</v>
      </c>
      <c r="DE8" s="169">
        <v>4</v>
      </c>
      <c r="DF8" s="169">
        <v>5</v>
      </c>
      <c r="DG8" s="169">
        <v>6</v>
      </c>
      <c r="DH8" s="169">
        <v>7</v>
      </c>
      <c r="DI8" s="169">
        <v>8</v>
      </c>
      <c r="DJ8" s="169">
        <v>9</v>
      </c>
      <c r="DK8" s="169">
        <v>10</v>
      </c>
      <c r="DL8" s="169">
        <v>11</v>
      </c>
      <c r="DM8" s="169">
        <v>12</v>
      </c>
      <c r="DN8" s="169">
        <v>13</v>
      </c>
      <c r="DO8" s="169">
        <v>14</v>
      </c>
      <c r="DP8" s="169">
        <v>15</v>
      </c>
      <c r="DQ8" s="169">
        <v>16</v>
      </c>
      <c r="DR8" s="169">
        <v>17</v>
      </c>
      <c r="DS8" s="169">
        <v>18</v>
      </c>
      <c r="DT8" s="169">
        <v>19</v>
      </c>
      <c r="DU8" s="169">
        <v>20</v>
      </c>
      <c r="DV8" s="169">
        <v>21</v>
      </c>
      <c r="DW8" s="169">
        <v>22</v>
      </c>
      <c r="DX8" s="169">
        <v>23</v>
      </c>
      <c r="DY8" s="169">
        <v>0</v>
      </c>
      <c r="DZ8" s="169">
        <v>1</v>
      </c>
      <c r="EA8" s="169">
        <v>2</v>
      </c>
      <c r="EB8" s="169">
        <v>3</v>
      </c>
      <c r="EC8" s="169">
        <v>4</v>
      </c>
      <c r="ED8" s="169">
        <v>5</v>
      </c>
      <c r="EE8" s="169">
        <v>6</v>
      </c>
      <c r="EF8" s="169">
        <v>7</v>
      </c>
      <c r="EG8" s="169">
        <v>8</v>
      </c>
      <c r="EH8" s="169">
        <v>9</v>
      </c>
      <c r="EI8" s="169">
        <v>10</v>
      </c>
      <c r="EJ8" s="169">
        <v>11</v>
      </c>
      <c r="EK8" s="169">
        <v>12</v>
      </c>
      <c r="EL8" s="169">
        <v>13</v>
      </c>
      <c r="EM8" s="169">
        <v>14</v>
      </c>
      <c r="EN8" s="169">
        <v>15</v>
      </c>
      <c r="EO8" s="169">
        <v>16</v>
      </c>
      <c r="EP8" s="169">
        <v>17</v>
      </c>
      <c r="EQ8" s="169">
        <v>18</v>
      </c>
      <c r="ER8" s="169">
        <v>19</v>
      </c>
      <c r="ES8" s="169">
        <v>20</v>
      </c>
      <c r="ET8" s="169">
        <v>21</v>
      </c>
      <c r="EU8" s="169">
        <v>22</v>
      </c>
      <c r="EV8" s="169">
        <v>23</v>
      </c>
      <c r="EW8" s="169">
        <v>0</v>
      </c>
      <c r="EX8" s="169">
        <v>1</v>
      </c>
      <c r="EY8" s="169">
        <v>2</v>
      </c>
      <c r="EZ8" s="169">
        <v>3</v>
      </c>
      <c r="FA8" s="169">
        <v>4</v>
      </c>
      <c r="FB8" s="169">
        <v>5</v>
      </c>
      <c r="FC8" s="169">
        <v>6</v>
      </c>
      <c r="FD8" s="169">
        <v>7</v>
      </c>
      <c r="FE8" s="169">
        <v>8</v>
      </c>
      <c r="FF8" s="169">
        <v>9</v>
      </c>
      <c r="FG8" s="169">
        <v>10</v>
      </c>
      <c r="FH8" s="169">
        <v>11</v>
      </c>
      <c r="FI8" s="169">
        <v>12</v>
      </c>
      <c r="FJ8" s="169">
        <v>13</v>
      </c>
      <c r="FK8" s="169">
        <v>14</v>
      </c>
      <c r="FL8" s="169">
        <v>15</v>
      </c>
      <c r="FM8" s="169">
        <v>16</v>
      </c>
      <c r="FN8" s="169">
        <v>17</v>
      </c>
      <c r="FO8" s="169">
        <v>18</v>
      </c>
      <c r="FP8" s="169">
        <v>19</v>
      </c>
      <c r="FQ8" s="169">
        <v>20</v>
      </c>
      <c r="FR8" s="169">
        <v>21</v>
      </c>
      <c r="FS8" s="169">
        <v>22</v>
      </c>
      <c r="FT8" s="169">
        <v>23</v>
      </c>
      <c r="FU8" s="169">
        <v>0</v>
      </c>
      <c r="FV8" s="169">
        <v>1</v>
      </c>
      <c r="FW8" s="169">
        <v>2</v>
      </c>
      <c r="FX8" s="169">
        <v>3</v>
      </c>
      <c r="FY8" s="169">
        <v>4</v>
      </c>
      <c r="FZ8" s="169">
        <v>5</v>
      </c>
      <c r="GA8" s="169">
        <v>6</v>
      </c>
      <c r="GB8" s="169">
        <v>7</v>
      </c>
      <c r="GC8" s="169">
        <v>8</v>
      </c>
      <c r="GD8" s="169">
        <v>9</v>
      </c>
      <c r="GE8" s="169">
        <v>10</v>
      </c>
      <c r="GF8" s="169">
        <v>11</v>
      </c>
      <c r="GG8" s="169">
        <v>12</v>
      </c>
      <c r="GH8" s="169">
        <v>13</v>
      </c>
      <c r="GI8" s="169">
        <v>14</v>
      </c>
      <c r="GJ8" s="169">
        <v>15</v>
      </c>
      <c r="GK8" s="169">
        <v>16</v>
      </c>
      <c r="GL8" s="169">
        <v>17</v>
      </c>
      <c r="GM8" s="169">
        <v>18</v>
      </c>
      <c r="GN8" s="169">
        <v>19</v>
      </c>
      <c r="GO8" s="169">
        <v>20</v>
      </c>
      <c r="GP8" s="169">
        <v>21</v>
      </c>
      <c r="GQ8" s="169">
        <v>22</v>
      </c>
      <c r="GR8" s="169">
        <v>23</v>
      </c>
      <c r="GS8" s="169">
        <v>0</v>
      </c>
      <c r="GT8" s="169">
        <v>1</v>
      </c>
      <c r="GU8" s="169">
        <v>2</v>
      </c>
      <c r="GV8" s="169">
        <v>3</v>
      </c>
      <c r="GW8" s="169">
        <v>4</v>
      </c>
      <c r="GX8" s="169">
        <v>5</v>
      </c>
      <c r="GY8" s="169">
        <v>6</v>
      </c>
      <c r="GZ8" s="169">
        <v>7</v>
      </c>
      <c r="HA8" s="169">
        <v>8</v>
      </c>
      <c r="HB8" s="169">
        <v>9</v>
      </c>
      <c r="HC8" s="169">
        <v>10</v>
      </c>
      <c r="HD8" s="169">
        <v>11</v>
      </c>
      <c r="HE8" s="169">
        <v>12</v>
      </c>
      <c r="HF8" s="169">
        <v>13</v>
      </c>
      <c r="HG8" s="169">
        <v>14</v>
      </c>
      <c r="HH8" s="169">
        <v>15</v>
      </c>
      <c r="HI8" s="169">
        <v>16</v>
      </c>
      <c r="HJ8" s="169">
        <v>17</v>
      </c>
      <c r="HK8" s="169">
        <v>18</v>
      </c>
      <c r="HL8" s="169">
        <v>19</v>
      </c>
      <c r="HM8" s="169">
        <v>20</v>
      </c>
      <c r="HN8" s="169">
        <v>21</v>
      </c>
      <c r="HO8" s="169">
        <v>22</v>
      </c>
      <c r="HP8" s="169">
        <v>23</v>
      </c>
      <c r="HQ8" s="169">
        <v>0</v>
      </c>
      <c r="HR8" s="169">
        <v>1</v>
      </c>
      <c r="HS8" s="169">
        <v>2</v>
      </c>
      <c r="HT8" s="169">
        <v>3</v>
      </c>
      <c r="HU8" s="169">
        <v>4</v>
      </c>
      <c r="HV8" s="169">
        <v>5</v>
      </c>
      <c r="HW8" s="169">
        <v>6</v>
      </c>
      <c r="HX8" s="169">
        <v>7</v>
      </c>
      <c r="HY8" s="169">
        <v>8</v>
      </c>
      <c r="HZ8" s="169">
        <v>9</v>
      </c>
      <c r="IA8" s="169">
        <v>10</v>
      </c>
      <c r="IB8" s="169">
        <v>11</v>
      </c>
      <c r="IC8" s="169">
        <v>12</v>
      </c>
      <c r="ID8" s="169">
        <v>13</v>
      </c>
      <c r="IE8" s="169">
        <v>14</v>
      </c>
      <c r="IF8" s="169">
        <v>15</v>
      </c>
      <c r="IG8" s="169">
        <v>16</v>
      </c>
      <c r="IH8" s="169">
        <v>17</v>
      </c>
      <c r="II8" s="169">
        <v>18</v>
      </c>
      <c r="IJ8" s="169">
        <v>19</v>
      </c>
      <c r="IK8" s="169">
        <v>20</v>
      </c>
      <c r="IL8" s="169">
        <v>21</v>
      </c>
      <c r="IM8" s="169">
        <v>22</v>
      </c>
      <c r="IN8" s="169">
        <v>23</v>
      </c>
      <c r="IO8" s="169">
        <v>0</v>
      </c>
      <c r="IP8" s="169">
        <v>1</v>
      </c>
      <c r="IQ8" s="169">
        <v>2</v>
      </c>
      <c r="IR8" s="169">
        <v>3</v>
      </c>
      <c r="IS8" s="169">
        <v>4</v>
      </c>
      <c r="IT8" s="169">
        <v>5</v>
      </c>
      <c r="IU8" s="169">
        <v>6</v>
      </c>
      <c r="IV8" s="169">
        <v>7</v>
      </c>
      <c r="IW8" s="169">
        <v>8</v>
      </c>
      <c r="IX8" s="169">
        <v>9</v>
      </c>
      <c r="IY8" s="169">
        <v>10</v>
      </c>
      <c r="IZ8" s="169">
        <v>11</v>
      </c>
      <c r="JA8" s="169">
        <v>12</v>
      </c>
      <c r="JB8" s="169">
        <v>13</v>
      </c>
      <c r="JC8" s="169">
        <v>14</v>
      </c>
      <c r="JD8" s="169">
        <v>15</v>
      </c>
      <c r="JE8" s="169">
        <v>16</v>
      </c>
      <c r="JF8" s="169">
        <v>17</v>
      </c>
      <c r="JG8" s="169">
        <v>18</v>
      </c>
      <c r="JH8" s="169">
        <v>19</v>
      </c>
      <c r="JI8" s="169">
        <v>20</v>
      </c>
      <c r="JJ8" s="169">
        <v>21</v>
      </c>
      <c r="JK8" s="169">
        <v>22</v>
      </c>
      <c r="JL8" s="169">
        <v>23</v>
      </c>
      <c r="JM8" s="169">
        <v>0</v>
      </c>
      <c r="JN8" s="169">
        <v>1</v>
      </c>
      <c r="JO8" s="169">
        <v>2</v>
      </c>
      <c r="JP8" s="169">
        <v>3</v>
      </c>
      <c r="JQ8" s="169">
        <v>4</v>
      </c>
      <c r="JR8" s="169">
        <v>5</v>
      </c>
      <c r="JS8" s="169">
        <v>6</v>
      </c>
      <c r="JT8" s="169">
        <v>7</v>
      </c>
      <c r="JU8" s="169">
        <v>8</v>
      </c>
      <c r="JV8" s="169">
        <v>9</v>
      </c>
      <c r="JW8" s="169">
        <v>10</v>
      </c>
      <c r="JX8" s="169">
        <v>11</v>
      </c>
      <c r="JY8" s="169">
        <v>12</v>
      </c>
      <c r="JZ8" s="169">
        <v>13</v>
      </c>
      <c r="KA8" s="169">
        <v>14</v>
      </c>
      <c r="KB8" s="169">
        <v>15</v>
      </c>
      <c r="KC8" s="169">
        <v>16</v>
      </c>
      <c r="KD8" s="169">
        <v>17</v>
      </c>
      <c r="KE8" s="169">
        <v>18</v>
      </c>
      <c r="KF8" s="169">
        <v>19</v>
      </c>
      <c r="KG8" s="169">
        <v>20</v>
      </c>
      <c r="KH8" s="169">
        <v>21</v>
      </c>
      <c r="KI8" s="169">
        <v>22</v>
      </c>
      <c r="KJ8" s="169">
        <v>23</v>
      </c>
      <c r="KK8" s="149"/>
    </row>
    <row r="9" spans="1:306" ht="24" customHeight="1">
      <c r="A9" s="134" t="s">
        <v>234</v>
      </c>
      <c r="B9" s="134" t="s">
        <v>226</v>
      </c>
      <c r="C9" s="134" t="s">
        <v>227</v>
      </c>
      <c r="D9" s="134" t="s">
        <v>228</v>
      </c>
      <c r="E9" s="134" t="s">
        <v>229</v>
      </c>
      <c r="F9" s="134" t="s">
        <v>230</v>
      </c>
      <c r="G9" s="134" t="s">
        <v>160</v>
      </c>
      <c r="H9" s="182"/>
      <c r="I9" s="182"/>
      <c r="J9" s="183" t="s">
        <v>27</v>
      </c>
      <c r="K9" s="182" t="s">
        <v>26</v>
      </c>
      <c r="L9" s="182" t="s">
        <v>137</v>
      </c>
      <c r="M9" s="182" t="s">
        <v>138</v>
      </c>
      <c r="N9" s="182" t="s">
        <v>225</v>
      </c>
      <c r="O9" s="182" t="s">
        <v>232</v>
      </c>
      <c r="P9" s="182" t="s">
        <v>264</v>
      </c>
      <c r="Q9" s="182" t="s">
        <v>265</v>
      </c>
      <c r="R9" s="182" t="s">
        <v>266</v>
      </c>
      <c r="S9" s="182" t="s">
        <v>267</v>
      </c>
      <c r="T9" s="182" t="s">
        <v>268</v>
      </c>
      <c r="U9" s="182" t="s">
        <v>269</v>
      </c>
      <c r="V9" s="182" t="s">
        <v>223</v>
      </c>
      <c r="W9" s="182" t="s">
        <v>233</v>
      </c>
      <c r="X9" s="184" t="s">
        <v>270</v>
      </c>
      <c r="Y9" s="182" t="s">
        <v>271</v>
      </c>
      <c r="Z9" s="182" t="s">
        <v>272</v>
      </c>
      <c r="AA9" s="182" t="s">
        <v>273</v>
      </c>
      <c r="AB9" s="182" t="s">
        <v>192</v>
      </c>
      <c r="AC9" s="182" t="s">
        <v>274</v>
      </c>
      <c r="AD9" s="182" t="s">
        <v>193</v>
      </c>
      <c r="AE9" s="185" t="s">
        <v>12</v>
      </c>
      <c r="AF9" s="182" t="s">
        <v>275</v>
      </c>
      <c r="AG9" s="182" t="s">
        <v>276</v>
      </c>
      <c r="AH9" s="182" t="s">
        <v>277</v>
      </c>
      <c r="AI9" s="182" t="s">
        <v>278</v>
      </c>
      <c r="AJ9" s="182" t="s">
        <v>172</v>
      </c>
      <c r="AK9" s="182" t="s">
        <v>173</v>
      </c>
      <c r="AL9" s="182" t="s">
        <v>174</v>
      </c>
      <c r="AM9" s="182" t="s">
        <v>175</v>
      </c>
      <c r="AN9" s="182" t="s">
        <v>176</v>
      </c>
      <c r="AO9" s="182" t="s">
        <v>177</v>
      </c>
      <c r="AP9" s="182" t="s">
        <v>178</v>
      </c>
      <c r="AQ9" s="182" t="s">
        <v>179</v>
      </c>
      <c r="AR9" s="182" t="s">
        <v>180</v>
      </c>
      <c r="AS9" s="182" t="s">
        <v>181</v>
      </c>
      <c r="AT9" s="182" t="s">
        <v>182</v>
      </c>
      <c r="AU9" s="182" t="s">
        <v>183</v>
      </c>
      <c r="AV9" s="182" t="s">
        <v>184</v>
      </c>
      <c r="AW9" s="182" t="s">
        <v>185</v>
      </c>
      <c r="AX9" s="182" t="s">
        <v>186</v>
      </c>
      <c r="AY9" s="182" t="s">
        <v>187</v>
      </c>
      <c r="AZ9" s="182" t="s">
        <v>188</v>
      </c>
      <c r="BA9" s="182" t="s">
        <v>189</v>
      </c>
      <c r="BB9" s="182" t="s">
        <v>190</v>
      </c>
      <c r="BC9" s="182" t="s">
        <v>191</v>
      </c>
      <c r="BD9" s="186"/>
      <c r="BE9" s="265" t="s">
        <v>331</v>
      </c>
      <c r="BF9" s="265" t="s">
        <v>332</v>
      </c>
      <c r="BG9" s="265" t="s">
        <v>333</v>
      </c>
      <c r="BH9" s="265" t="s">
        <v>334</v>
      </c>
      <c r="BI9" s="265" t="s">
        <v>335</v>
      </c>
      <c r="BJ9" s="265" t="s">
        <v>336</v>
      </c>
      <c r="BK9" s="265" t="s">
        <v>337</v>
      </c>
      <c r="BL9" s="265" t="s">
        <v>338</v>
      </c>
      <c r="BM9" s="265" t="s">
        <v>339</v>
      </c>
      <c r="BN9" s="265" t="s">
        <v>340</v>
      </c>
      <c r="BO9" s="265" t="s">
        <v>341</v>
      </c>
      <c r="BP9" s="265" t="s">
        <v>342</v>
      </c>
      <c r="BQ9" s="265" t="s">
        <v>343</v>
      </c>
      <c r="BR9" s="265" t="s">
        <v>344</v>
      </c>
      <c r="BS9" s="265" t="s">
        <v>345</v>
      </c>
      <c r="BT9" s="265" t="s">
        <v>346</v>
      </c>
      <c r="BU9" s="265" t="s">
        <v>347</v>
      </c>
      <c r="BV9" s="265" t="s">
        <v>348</v>
      </c>
      <c r="BW9" s="265" t="s">
        <v>349</v>
      </c>
      <c r="BX9" s="265" t="s">
        <v>350</v>
      </c>
      <c r="BY9" s="265" t="s">
        <v>351</v>
      </c>
      <c r="BZ9" s="265" t="s">
        <v>352</v>
      </c>
      <c r="CA9" s="265" t="s">
        <v>353</v>
      </c>
      <c r="CB9" s="265" t="s">
        <v>354</v>
      </c>
      <c r="CC9" s="265" t="s">
        <v>331</v>
      </c>
      <c r="CD9" s="265" t="s">
        <v>332</v>
      </c>
      <c r="CE9" s="265" t="s">
        <v>333</v>
      </c>
      <c r="CF9" s="265" t="s">
        <v>334</v>
      </c>
      <c r="CG9" s="265" t="s">
        <v>335</v>
      </c>
      <c r="CH9" s="265" t="s">
        <v>336</v>
      </c>
      <c r="CI9" s="265" t="s">
        <v>337</v>
      </c>
      <c r="CJ9" s="265" t="s">
        <v>338</v>
      </c>
      <c r="CK9" s="265" t="s">
        <v>339</v>
      </c>
      <c r="CL9" s="265" t="s">
        <v>340</v>
      </c>
      <c r="CM9" s="265" t="s">
        <v>341</v>
      </c>
      <c r="CN9" s="265" t="s">
        <v>342</v>
      </c>
      <c r="CO9" s="265" t="s">
        <v>343</v>
      </c>
      <c r="CP9" s="265" t="s">
        <v>344</v>
      </c>
      <c r="CQ9" s="265" t="s">
        <v>345</v>
      </c>
      <c r="CR9" s="265" t="s">
        <v>346</v>
      </c>
      <c r="CS9" s="265" t="s">
        <v>347</v>
      </c>
      <c r="CT9" s="265" t="s">
        <v>348</v>
      </c>
      <c r="CU9" s="265" t="s">
        <v>349</v>
      </c>
      <c r="CV9" s="265" t="s">
        <v>350</v>
      </c>
      <c r="CW9" s="265" t="s">
        <v>351</v>
      </c>
      <c r="CX9" s="265" t="s">
        <v>352</v>
      </c>
      <c r="CY9" s="265" t="s">
        <v>353</v>
      </c>
      <c r="CZ9" s="265" t="s">
        <v>354</v>
      </c>
      <c r="DA9" s="265" t="s">
        <v>331</v>
      </c>
      <c r="DB9" s="265" t="s">
        <v>332</v>
      </c>
      <c r="DC9" s="265" t="s">
        <v>333</v>
      </c>
      <c r="DD9" s="265" t="s">
        <v>334</v>
      </c>
      <c r="DE9" s="265" t="s">
        <v>335</v>
      </c>
      <c r="DF9" s="265" t="s">
        <v>336</v>
      </c>
      <c r="DG9" s="265" t="s">
        <v>337</v>
      </c>
      <c r="DH9" s="265" t="s">
        <v>338</v>
      </c>
      <c r="DI9" s="265" t="s">
        <v>339</v>
      </c>
      <c r="DJ9" s="265" t="s">
        <v>340</v>
      </c>
      <c r="DK9" s="265" t="s">
        <v>341</v>
      </c>
      <c r="DL9" s="265" t="s">
        <v>342</v>
      </c>
      <c r="DM9" s="265" t="s">
        <v>343</v>
      </c>
      <c r="DN9" s="265" t="s">
        <v>344</v>
      </c>
      <c r="DO9" s="265" t="s">
        <v>345</v>
      </c>
      <c r="DP9" s="265" t="s">
        <v>346</v>
      </c>
      <c r="DQ9" s="265" t="s">
        <v>347</v>
      </c>
      <c r="DR9" s="265" t="s">
        <v>348</v>
      </c>
      <c r="DS9" s="265" t="s">
        <v>349</v>
      </c>
      <c r="DT9" s="265" t="s">
        <v>350</v>
      </c>
      <c r="DU9" s="265" t="s">
        <v>351</v>
      </c>
      <c r="DV9" s="265" t="s">
        <v>352</v>
      </c>
      <c r="DW9" s="265" t="s">
        <v>353</v>
      </c>
      <c r="DX9" s="265" t="s">
        <v>354</v>
      </c>
      <c r="DY9" s="265" t="s">
        <v>331</v>
      </c>
      <c r="DZ9" s="265" t="s">
        <v>332</v>
      </c>
      <c r="EA9" s="265" t="s">
        <v>333</v>
      </c>
      <c r="EB9" s="265" t="s">
        <v>334</v>
      </c>
      <c r="EC9" s="265" t="s">
        <v>335</v>
      </c>
      <c r="ED9" s="265" t="s">
        <v>336</v>
      </c>
      <c r="EE9" s="265" t="s">
        <v>337</v>
      </c>
      <c r="EF9" s="265" t="s">
        <v>338</v>
      </c>
      <c r="EG9" s="265" t="s">
        <v>339</v>
      </c>
      <c r="EH9" s="265" t="s">
        <v>340</v>
      </c>
      <c r="EI9" s="265" t="s">
        <v>341</v>
      </c>
      <c r="EJ9" s="265" t="s">
        <v>342</v>
      </c>
      <c r="EK9" s="265" t="s">
        <v>343</v>
      </c>
      <c r="EL9" s="265" t="s">
        <v>344</v>
      </c>
      <c r="EM9" s="265" t="s">
        <v>345</v>
      </c>
      <c r="EN9" s="265" t="s">
        <v>346</v>
      </c>
      <c r="EO9" s="265" t="s">
        <v>347</v>
      </c>
      <c r="EP9" s="265" t="s">
        <v>348</v>
      </c>
      <c r="EQ9" s="265" t="s">
        <v>349</v>
      </c>
      <c r="ER9" s="265" t="s">
        <v>350</v>
      </c>
      <c r="ES9" s="265" t="s">
        <v>351</v>
      </c>
      <c r="ET9" s="265" t="s">
        <v>352</v>
      </c>
      <c r="EU9" s="265" t="s">
        <v>353</v>
      </c>
      <c r="EV9" s="265" t="s">
        <v>354</v>
      </c>
      <c r="EW9" s="265" t="s">
        <v>331</v>
      </c>
      <c r="EX9" s="265" t="s">
        <v>332</v>
      </c>
      <c r="EY9" s="265" t="s">
        <v>333</v>
      </c>
      <c r="EZ9" s="265" t="s">
        <v>334</v>
      </c>
      <c r="FA9" s="265" t="s">
        <v>335</v>
      </c>
      <c r="FB9" s="265" t="s">
        <v>336</v>
      </c>
      <c r="FC9" s="265" t="s">
        <v>337</v>
      </c>
      <c r="FD9" s="265" t="s">
        <v>338</v>
      </c>
      <c r="FE9" s="265" t="s">
        <v>339</v>
      </c>
      <c r="FF9" s="265" t="s">
        <v>340</v>
      </c>
      <c r="FG9" s="265" t="s">
        <v>341</v>
      </c>
      <c r="FH9" s="265" t="s">
        <v>342</v>
      </c>
      <c r="FI9" s="265" t="s">
        <v>343</v>
      </c>
      <c r="FJ9" s="265" t="s">
        <v>344</v>
      </c>
      <c r="FK9" s="265" t="s">
        <v>345</v>
      </c>
      <c r="FL9" s="265" t="s">
        <v>346</v>
      </c>
      <c r="FM9" s="265" t="s">
        <v>347</v>
      </c>
      <c r="FN9" s="265" t="s">
        <v>348</v>
      </c>
      <c r="FO9" s="265" t="s">
        <v>349</v>
      </c>
      <c r="FP9" s="265" t="s">
        <v>350</v>
      </c>
      <c r="FQ9" s="265" t="s">
        <v>351</v>
      </c>
      <c r="FR9" s="265" t="s">
        <v>352</v>
      </c>
      <c r="FS9" s="265" t="s">
        <v>353</v>
      </c>
      <c r="FT9" s="265" t="s">
        <v>354</v>
      </c>
      <c r="FU9" s="265" t="s">
        <v>331</v>
      </c>
      <c r="FV9" s="265" t="s">
        <v>332</v>
      </c>
      <c r="FW9" s="265" t="s">
        <v>333</v>
      </c>
      <c r="FX9" s="265" t="s">
        <v>334</v>
      </c>
      <c r="FY9" s="265" t="s">
        <v>335</v>
      </c>
      <c r="FZ9" s="265" t="s">
        <v>336</v>
      </c>
      <c r="GA9" s="265" t="s">
        <v>337</v>
      </c>
      <c r="GB9" s="265" t="s">
        <v>338</v>
      </c>
      <c r="GC9" s="265" t="s">
        <v>339</v>
      </c>
      <c r="GD9" s="265" t="s">
        <v>340</v>
      </c>
      <c r="GE9" s="265" t="s">
        <v>341</v>
      </c>
      <c r="GF9" s="265" t="s">
        <v>342</v>
      </c>
      <c r="GG9" s="265" t="s">
        <v>343</v>
      </c>
      <c r="GH9" s="265" t="s">
        <v>344</v>
      </c>
      <c r="GI9" s="265" t="s">
        <v>345</v>
      </c>
      <c r="GJ9" s="265" t="s">
        <v>346</v>
      </c>
      <c r="GK9" s="265" t="s">
        <v>347</v>
      </c>
      <c r="GL9" s="265" t="s">
        <v>348</v>
      </c>
      <c r="GM9" s="265" t="s">
        <v>349</v>
      </c>
      <c r="GN9" s="265" t="s">
        <v>350</v>
      </c>
      <c r="GO9" s="265" t="s">
        <v>351</v>
      </c>
      <c r="GP9" s="265" t="s">
        <v>352</v>
      </c>
      <c r="GQ9" s="265" t="s">
        <v>353</v>
      </c>
      <c r="GR9" s="265" t="s">
        <v>354</v>
      </c>
      <c r="GS9" s="265" t="s">
        <v>331</v>
      </c>
      <c r="GT9" s="265" t="s">
        <v>332</v>
      </c>
      <c r="GU9" s="265" t="s">
        <v>333</v>
      </c>
      <c r="GV9" s="265" t="s">
        <v>334</v>
      </c>
      <c r="GW9" s="265" t="s">
        <v>335</v>
      </c>
      <c r="GX9" s="265" t="s">
        <v>336</v>
      </c>
      <c r="GY9" s="265" t="s">
        <v>337</v>
      </c>
      <c r="GZ9" s="265" t="s">
        <v>338</v>
      </c>
      <c r="HA9" s="265" t="s">
        <v>339</v>
      </c>
      <c r="HB9" s="265" t="s">
        <v>340</v>
      </c>
      <c r="HC9" s="265" t="s">
        <v>341</v>
      </c>
      <c r="HD9" s="265" t="s">
        <v>342</v>
      </c>
      <c r="HE9" s="265" t="s">
        <v>343</v>
      </c>
      <c r="HF9" s="265" t="s">
        <v>344</v>
      </c>
      <c r="HG9" s="265" t="s">
        <v>345</v>
      </c>
      <c r="HH9" s="265" t="s">
        <v>346</v>
      </c>
      <c r="HI9" s="265" t="s">
        <v>347</v>
      </c>
      <c r="HJ9" s="265" t="s">
        <v>348</v>
      </c>
      <c r="HK9" s="265" t="s">
        <v>349</v>
      </c>
      <c r="HL9" s="265" t="s">
        <v>350</v>
      </c>
      <c r="HM9" s="265" t="s">
        <v>351</v>
      </c>
      <c r="HN9" s="265" t="s">
        <v>352</v>
      </c>
      <c r="HO9" s="265" t="s">
        <v>353</v>
      </c>
      <c r="HP9" s="265" t="s">
        <v>354</v>
      </c>
      <c r="HQ9" s="265" t="s">
        <v>331</v>
      </c>
      <c r="HR9" s="265" t="s">
        <v>332</v>
      </c>
      <c r="HS9" s="265" t="s">
        <v>333</v>
      </c>
      <c r="HT9" s="265" t="s">
        <v>334</v>
      </c>
      <c r="HU9" s="265" t="s">
        <v>335</v>
      </c>
      <c r="HV9" s="265" t="s">
        <v>336</v>
      </c>
      <c r="HW9" s="265" t="s">
        <v>337</v>
      </c>
      <c r="HX9" s="265" t="s">
        <v>338</v>
      </c>
      <c r="HY9" s="265" t="s">
        <v>339</v>
      </c>
      <c r="HZ9" s="265" t="s">
        <v>340</v>
      </c>
      <c r="IA9" s="265" t="s">
        <v>341</v>
      </c>
      <c r="IB9" s="265" t="s">
        <v>342</v>
      </c>
      <c r="IC9" s="265" t="s">
        <v>343</v>
      </c>
      <c r="ID9" s="265" t="s">
        <v>344</v>
      </c>
      <c r="IE9" s="265" t="s">
        <v>345</v>
      </c>
      <c r="IF9" s="265" t="s">
        <v>346</v>
      </c>
      <c r="IG9" s="265" t="s">
        <v>347</v>
      </c>
      <c r="IH9" s="265" t="s">
        <v>348</v>
      </c>
      <c r="II9" s="265" t="s">
        <v>349</v>
      </c>
      <c r="IJ9" s="265" t="s">
        <v>350</v>
      </c>
      <c r="IK9" s="265" t="s">
        <v>351</v>
      </c>
      <c r="IL9" s="265" t="s">
        <v>352</v>
      </c>
      <c r="IM9" s="265" t="s">
        <v>353</v>
      </c>
      <c r="IN9" s="265" t="s">
        <v>354</v>
      </c>
      <c r="IO9" s="265" t="s">
        <v>331</v>
      </c>
      <c r="IP9" s="265" t="s">
        <v>332</v>
      </c>
      <c r="IQ9" s="265" t="s">
        <v>333</v>
      </c>
      <c r="IR9" s="265" t="s">
        <v>334</v>
      </c>
      <c r="IS9" s="265" t="s">
        <v>335</v>
      </c>
      <c r="IT9" s="265" t="s">
        <v>336</v>
      </c>
      <c r="IU9" s="265" t="s">
        <v>337</v>
      </c>
      <c r="IV9" s="265" t="s">
        <v>338</v>
      </c>
      <c r="IW9" s="265" t="s">
        <v>339</v>
      </c>
      <c r="IX9" s="265" t="s">
        <v>340</v>
      </c>
      <c r="IY9" s="265" t="s">
        <v>341</v>
      </c>
      <c r="IZ9" s="265" t="s">
        <v>342</v>
      </c>
      <c r="JA9" s="265" t="s">
        <v>343</v>
      </c>
      <c r="JB9" s="265" t="s">
        <v>344</v>
      </c>
      <c r="JC9" s="265" t="s">
        <v>345</v>
      </c>
      <c r="JD9" s="265" t="s">
        <v>346</v>
      </c>
      <c r="JE9" s="265" t="s">
        <v>347</v>
      </c>
      <c r="JF9" s="265" t="s">
        <v>348</v>
      </c>
      <c r="JG9" s="265" t="s">
        <v>349</v>
      </c>
      <c r="JH9" s="265" t="s">
        <v>350</v>
      </c>
      <c r="JI9" s="265" t="s">
        <v>351</v>
      </c>
      <c r="JJ9" s="265" t="s">
        <v>352</v>
      </c>
      <c r="JK9" s="265" t="s">
        <v>353</v>
      </c>
      <c r="JL9" s="265" t="s">
        <v>354</v>
      </c>
      <c r="JM9" s="265" t="s">
        <v>331</v>
      </c>
      <c r="JN9" s="265" t="s">
        <v>332</v>
      </c>
      <c r="JO9" s="265" t="s">
        <v>333</v>
      </c>
      <c r="JP9" s="265" t="s">
        <v>334</v>
      </c>
      <c r="JQ9" s="265" t="s">
        <v>335</v>
      </c>
      <c r="JR9" s="265" t="s">
        <v>336</v>
      </c>
      <c r="JS9" s="265" t="s">
        <v>337</v>
      </c>
      <c r="JT9" s="265" t="s">
        <v>338</v>
      </c>
      <c r="JU9" s="265" t="s">
        <v>339</v>
      </c>
      <c r="JV9" s="265" t="s">
        <v>340</v>
      </c>
      <c r="JW9" s="265" t="s">
        <v>341</v>
      </c>
      <c r="JX9" s="265" t="s">
        <v>342</v>
      </c>
      <c r="JY9" s="265" t="s">
        <v>343</v>
      </c>
      <c r="JZ9" s="265" t="s">
        <v>344</v>
      </c>
      <c r="KA9" s="265" t="s">
        <v>345</v>
      </c>
      <c r="KB9" s="265" t="s">
        <v>346</v>
      </c>
      <c r="KC9" s="265" t="s">
        <v>347</v>
      </c>
      <c r="KD9" s="265" t="s">
        <v>348</v>
      </c>
      <c r="KE9" s="265" t="s">
        <v>349</v>
      </c>
      <c r="KF9" s="265" t="s">
        <v>350</v>
      </c>
      <c r="KG9" s="265" t="s">
        <v>351</v>
      </c>
      <c r="KH9" s="265" t="s">
        <v>352</v>
      </c>
      <c r="KI9" s="265" t="s">
        <v>353</v>
      </c>
      <c r="KJ9" s="265" t="s">
        <v>354</v>
      </c>
      <c r="KK9" s="149"/>
    </row>
    <row r="10" spans="1:306" s="194" customFormat="1" ht="18" customHeight="1">
      <c r="A10" s="134" t="s">
        <v>167</v>
      </c>
      <c r="B10" s="134">
        <v>4</v>
      </c>
      <c r="C10" s="134"/>
      <c r="D10" s="134"/>
      <c r="E10" s="134"/>
      <c r="F10" s="134"/>
      <c r="G10" s="134">
        <v>0</v>
      </c>
      <c r="H10" s="266"/>
      <c r="I10" s="267" t="s">
        <v>169</v>
      </c>
      <c r="J10" s="205" t="s">
        <v>288</v>
      </c>
      <c r="K10" s="206" t="s">
        <v>291</v>
      </c>
      <c r="L10" s="172" t="s">
        <v>168</v>
      </c>
      <c r="M10" s="207" t="s">
        <v>355</v>
      </c>
      <c r="N10" s="206" t="s">
        <v>318</v>
      </c>
      <c r="O10" s="208"/>
      <c r="P10" s="209"/>
      <c r="Q10" s="209"/>
      <c r="R10" s="210"/>
      <c r="S10" s="209">
        <v>44669.375</v>
      </c>
      <c r="T10" s="209">
        <v>44673.458333333336</v>
      </c>
      <c r="U10" s="210">
        <v>51</v>
      </c>
      <c r="V10" s="206"/>
      <c r="W10" s="177">
        <v>0</v>
      </c>
      <c r="X10" s="211">
        <v>0.93333333333333324</v>
      </c>
      <c r="Y10" s="209">
        <v>44670.833333333336</v>
      </c>
      <c r="Z10" s="209">
        <v>44671.5</v>
      </c>
      <c r="AA10" s="210">
        <v>3</v>
      </c>
      <c r="AB10" s="208"/>
      <c r="AC10" s="208"/>
      <c r="AD10" s="208"/>
      <c r="AE10" s="212"/>
      <c r="AF10" s="171"/>
      <c r="AG10" s="171"/>
      <c r="AH10" s="171"/>
      <c r="AI10" s="171"/>
      <c r="AJ10" s="171"/>
      <c r="AK10" s="171"/>
      <c r="AL10" s="171"/>
      <c r="AM10" s="171"/>
      <c r="AN10" s="171"/>
      <c r="AO10" s="171"/>
      <c r="AP10" s="171"/>
      <c r="AQ10" s="171"/>
      <c r="AR10" s="171"/>
      <c r="AS10" s="171"/>
      <c r="AT10" s="171"/>
      <c r="AU10" s="171"/>
      <c r="AV10" s="171"/>
      <c r="AW10" s="171"/>
      <c r="AX10" s="171"/>
      <c r="AY10" s="171"/>
      <c r="AZ10" s="171"/>
      <c r="BA10" s="171"/>
      <c r="BB10" s="171"/>
      <c r="BC10" s="171"/>
      <c r="BD10" s="180"/>
      <c r="BE10" s="188"/>
      <c r="BF10" s="188"/>
      <c r="BG10" s="188"/>
      <c r="BH10" s="188"/>
      <c r="BI10" s="188"/>
      <c r="BJ10" s="188"/>
      <c r="BK10" s="188"/>
      <c r="BL10" s="188"/>
      <c r="BM10" s="188"/>
      <c r="BN10" s="188"/>
      <c r="BO10" s="188"/>
      <c r="BP10" s="188"/>
      <c r="BQ10" s="188"/>
      <c r="BR10" s="188"/>
      <c r="BS10" s="188"/>
      <c r="BT10" s="188"/>
      <c r="BU10" s="188"/>
      <c r="BV10" s="188"/>
      <c r="BW10" s="188"/>
      <c r="BX10" s="188"/>
      <c r="BY10" s="188"/>
      <c r="BZ10" s="188"/>
      <c r="CA10" s="188"/>
      <c r="CB10" s="188"/>
      <c r="CC10" s="188"/>
      <c r="CD10" s="188"/>
      <c r="CE10" s="188"/>
      <c r="CF10" s="188"/>
      <c r="CG10" s="188"/>
      <c r="CH10" s="188"/>
      <c r="CI10" s="188"/>
      <c r="CJ10" s="188"/>
      <c r="CK10" s="188"/>
      <c r="CL10" s="188"/>
      <c r="CM10" s="188"/>
      <c r="CN10" s="188"/>
      <c r="CO10" s="188"/>
      <c r="CP10" s="188"/>
      <c r="CQ10" s="188"/>
      <c r="CR10" s="188"/>
      <c r="CS10" s="188"/>
      <c r="CT10" s="188"/>
      <c r="CU10" s="188"/>
      <c r="CV10" s="188"/>
      <c r="CW10" s="188"/>
      <c r="CX10" s="188"/>
      <c r="CY10" s="188"/>
      <c r="CZ10" s="188"/>
      <c r="DA10" s="188"/>
      <c r="DB10" s="188"/>
      <c r="DC10" s="188"/>
      <c r="DD10" s="188"/>
      <c r="DE10" s="188"/>
      <c r="DF10" s="188"/>
      <c r="DG10" s="188"/>
      <c r="DH10" s="188"/>
      <c r="DI10" s="188"/>
      <c r="DJ10" s="188"/>
      <c r="DK10" s="188"/>
      <c r="DL10" s="188"/>
      <c r="DM10" s="188"/>
      <c r="DN10" s="188"/>
      <c r="DO10" s="188"/>
      <c r="DP10" s="188"/>
      <c r="DQ10" s="188"/>
      <c r="DR10" s="188"/>
      <c r="DS10" s="188"/>
      <c r="DT10" s="188"/>
      <c r="DU10" s="188"/>
      <c r="DV10" s="188"/>
      <c r="DW10" s="188"/>
      <c r="DX10" s="188"/>
      <c r="DY10" s="188"/>
      <c r="DZ10" s="188"/>
      <c r="EA10" s="188"/>
      <c r="EB10" s="188"/>
      <c r="EC10" s="188"/>
      <c r="ED10" s="188"/>
      <c r="EE10" s="188"/>
      <c r="EF10" s="188"/>
      <c r="EG10" s="188"/>
      <c r="EH10" s="188"/>
      <c r="EI10" s="188"/>
      <c r="EJ10" s="188"/>
      <c r="EK10" s="188"/>
      <c r="EL10" s="188"/>
      <c r="EM10" s="188"/>
      <c r="EN10" s="188"/>
      <c r="EO10" s="188"/>
      <c r="EP10" s="188"/>
      <c r="EQ10" s="188"/>
      <c r="ER10" s="188"/>
      <c r="ES10" s="188"/>
      <c r="ET10" s="188"/>
      <c r="EU10" s="188"/>
      <c r="EV10" s="188"/>
      <c r="EW10" s="188"/>
      <c r="EX10" s="188"/>
      <c r="EY10" s="188"/>
      <c r="EZ10" s="188"/>
      <c r="FA10" s="188"/>
      <c r="FB10" s="188"/>
      <c r="FC10" s="188"/>
      <c r="FD10" s="188"/>
      <c r="FE10" s="188"/>
      <c r="FF10" s="188"/>
      <c r="FG10" s="188"/>
      <c r="FH10" s="188"/>
      <c r="FI10" s="188"/>
      <c r="FJ10" s="188"/>
      <c r="FK10" s="188"/>
      <c r="FL10" s="188"/>
      <c r="FM10" s="188"/>
      <c r="FN10" s="188"/>
      <c r="FO10" s="188"/>
      <c r="FP10" s="188"/>
      <c r="FQ10" s="188"/>
      <c r="FR10" s="188"/>
      <c r="FS10" s="188"/>
      <c r="FT10" s="188"/>
      <c r="FU10" s="188"/>
      <c r="FV10" s="188"/>
      <c r="FW10" s="188"/>
      <c r="FX10" s="188"/>
      <c r="FY10" s="188"/>
      <c r="FZ10" s="188"/>
      <c r="GA10" s="188"/>
      <c r="GB10" s="188"/>
      <c r="GC10" s="188"/>
      <c r="GD10" s="188"/>
      <c r="GE10" s="188"/>
      <c r="GF10" s="188"/>
      <c r="GG10" s="188"/>
      <c r="GH10" s="188"/>
      <c r="GI10" s="188"/>
      <c r="GJ10" s="188"/>
      <c r="GK10" s="188"/>
      <c r="GL10" s="188"/>
      <c r="GM10" s="188"/>
      <c r="GN10" s="188"/>
      <c r="GO10" s="188"/>
      <c r="GP10" s="188"/>
      <c r="GQ10" s="188"/>
      <c r="GR10" s="188"/>
      <c r="GS10" s="188"/>
      <c r="GT10" s="188"/>
      <c r="GU10" s="188"/>
      <c r="GV10" s="188"/>
      <c r="GW10" s="188"/>
      <c r="GX10" s="188"/>
      <c r="GY10" s="188"/>
      <c r="GZ10" s="188"/>
      <c r="HA10" s="188"/>
      <c r="HB10" s="188"/>
      <c r="HC10" s="188"/>
      <c r="HD10" s="188"/>
      <c r="HE10" s="188"/>
      <c r="HF10" s="188"/>
      <c r="HG10" s="188"/>
      <c r="HH10" s="188"/>
      <c r="HI10" s="188"/>
      <c r="HJ10" s="188"/>
      <c r="HK10" s="188"/>
      <c r="HL10" s="188"/>
      <c r="HM10" s="188"/>
      <c r="HN10" s="188"/>
      <c r="HO10" s="188"/>
      <c r="HP10" s="188"/>
      <c r="HQ10" s="188"/>
      <c r="HR10" s="188"/>
      <c r="HS10" s="188"/>
      <c r="HT10" s="188"/>
      <c r="HU10" s="188"/>
      <c r="HV10" s="188"/>
      <c r="HW10" s="188"/>
      <c r="HX10" s="188"/>
      <c r="HY10" s="188"/>
      <c r="HZ10" s="188"/>
      <c r="IA10" s="188"/>
      <c r="IB10" s="188"/>
      <c r="IC10" s="188"/>
      <c r="ID10" s="188"/>
      <c r="IE10" s="188"/>
      <c r="IF10" s="188"/>
      <c r="IG10" s="188"/>
      <c r="IH10" s="188"/>
      <c r="II10" s="188"/>
      <c r="IJ10" s="188"/>
      <c r="IK10" s="188"/>
      <c r="IL10" s="188"/>
      <c r="IM10" s="188"/>
      <c r="IN10" s="188"/>
      <c r="IO10" s="188"/>
      <c r="IP10" s="188"/>
      <c r="IQ10" s="188"/>
      <c r="IR10" s="188"/>
      <c r="IS10" s="188"/>
      <c r="IT10" s="188"/>
      <c r="IU10" s="188"/>
      <c r="IV10" s="188"/>
      <c r="IW10" s="188"/>
      <c r="IX10" s="188"/>
      <c r="IY10" s="188"/>
      <c r="IZ10" s="188"/>
      <c r="JA10" s="188"/>
      <c r="JB10" s="188"/>
      <c r="JC10" s="188"/>
      <c r="JD10" s="188"/>
      <c r="JE10" s="188"/>
      <c r="JF10" s="188"/>
      <c r="JG10" s="188"/>
      <c r="JH10" s="188"/>
      <c r="JI10" s="188"/>
      <c r="JJ10" s="188"/>
      <c r="JK10" s="188"/>
      <c r="JL10" s="188"/>
      <c r="JM10" s="188"/>
      <c r="JN10" s="188"/>
      <c r="JO10" s="188"/>
      <c r="JP10" s="188"/>
      <c r="JQ10" s="188"/>
      <c r="JR10" s="188"/>
      <c r="JS10" s="188"/>
      <c r="JT10" s="188"/>
      <c r="JU10" s="188"/>
      <c r="JV10" s="188"/>
      <c r="JW10" s="188"/>
      <c r="JX10" s="188"/>
      <c r="JY10" s="188"/>
      <c r="JZ10" s="188"/>
      <c r="KA10" s="188"/>
      <c r="KB10" s="188"/>
      <c r="KC10" s="188"/>
      <c r="KD10" s="188"/>
      <c r="KE10" s="188"/>
      <c r="KF10" s="188"/>
      <c r="KG10" s="188"/>
      <c r="KH10" s="188"/>
      <c r="KI10" s="188"/>
      <c r="KJ10" s="188"/>
      <c r="KK10" s="149"/>
      <c r="KL10"/>
      <c r="KM10"/>
      <c r="KN10"/>
      <c r="KO10"/>
      <c r="KP10"/>
      <c r="KQ10"/>
      <c r="KR10"/>
      <c r="KS10"/>
      <c r="KT10"/>
    </row>
    <row r="11" spans="1:306" s="181" customFormat="1" ht="18" customHeight="1">
      <c r="A11" s="153" t="s">
        <v>167</v>
      </c>
      <c r="B11" s="153">
        <v>2</v>
      </c>
      <c r="C11" s="153"/>
      <c r="D11" s="153"/>
      <c r="E11" s="153"/>
      <c r="F11" s="153"/>
      <c r="G11" s="153">
        <v>1</v>
      </c>
      <c r="H11" s="187"/>
      <c r="I11" s="190" t="s">
        <v>169</v>
      </c>
      <c r="J11" s="170" t="s">
        <v>293</v>
      </c>
      <c r="K11" s="213" t="s">
        <v>292</v>
      </c>
      <c r="L11" s="172" t="s">
        <v>168</v>
      </c>
      <c r="M11" s="173" t="s">
        <v>56</v>
      </c>
      <c r="N11" s="171"/>
      <c r="O11" s="174"/>
      <c r="P11" s="175"/>
      <c r="Q11" s="175"/>
      <c r="R11" s="176"/>
      <c r="S11" s="175">
        <v>44669.375</v>
      </c>
      <c r="T11" s="175">
        <v>44669.583333333336</v>
      </c>
      <c r="U11" s="193">
        <v>5</v>
      </c>
      <c r="V11" s="171"/>
      <c r="W11" s="177">
        <v>100</v>
      </c>
      <c r="X11" s="178">
        <v>1</v>
      </c>
      <c r="Y11" s="175"/>
      <c r="Z11" s="175"/>
      <c r="AA11" s="176"/>
      <c r="AB11" s="174"/>
      <c r="AC11" s="174"/>
      <c r="AD11" s="174"/>
      <c r="AE11" s="179"/>
      <c r="AF11" s="171"/>
      <c r="AG11" s="171"/>
      <c r="AH11" s="171"/>
      <c r="AI11" s="171"/>
      <c r="AJ11" s="171"/>
      <c r="AK11" s="171"/>
      <c r="AL11" s="171"/>
      <c r="AM11" s="171"/>
      <c r="AN11" s="171"/>
      <c r="AO11" s="171"/>
      <c r="AP11" s="171"/>
      <c r="AQ11" s="171"/>
      <c r="AR11" s="171"/>
      <c r="AS11" s="171"/>
      <c r="AT11" s="171"/>
      <c r="AU11" s="171"/>
      <c r="AV11" s="171"/>
      <c r="AW11" s="171"/>
      <c r="AX11" s="171"/>
      <c r="AY11" s="171"/>
      <c r="AZ11" s="171"/>
      <c r="BA11" s="171"/>
      <c r="BB11" s="171"/>
      <c r="BC11" s="171"/>
      <c r="BD11" s="180"/>
      <c r="BE11" s="188"/>
      <c r="BF11" s="188"/>
      <c r="BG11" s="188"/>
      <c r="BH11" s="188"/>
      <c r="BI11" s="188"/>
      <c r="BJ11" s="188"/>
      <c r="BK11" s="188"/>
      <c r="BL11" s="188"/>
      <c r="BM11" s="188"/>
      <c r="BN11" s="188"/>
      <c r="BO11" s="188"/>
      <c r="BP11" s="188"/>
      <c r="BQ11" s="188"/>
      <c r="BR11" s="188"/>
      <c r="BS11" s="188"/>
      <c r="BT11" s="188"/>
      <c r="BU11" s="188"/>
      <c r="BV11" s="188"/>
      <c r="BW11" s="188"/>
      <c r="BX11" s="188"/>
      <c r="BY11" s="188"/>
      <c r="BZ11" s="188"/>
      <c r="CA11" s="188"/>
      <c r="CB11" s="188"/>
      <c r="CC11" s="188"/>
      <c r="CD11" s="188"/>
      <c r="CE11" s="188"/>
      <c r="CF11" s="188"/>
      <c r="CG11" s="188"/>
      <c r="CH11" s="188"/>
      <c r="CI11" s="188"/>
      <c r="CJ11" s="188"/>
      <c r="CK11" s="188"/>
      <c r="CL11" s="188"/>
      <c r="CM11" s="188"/>
      <c r="CN11" s="188"/>
      <c r="CO11" s="188"/>
      <c r="CP11" s="188"/>
      <c r="CQ11" s="188"/>
      <c r="CR11" s="188"/>
      <c r="CS11" s="188"/>
      <c r="CT11" s="188"/>
      <c r="CU11" s="188"/>
      <c r="CV11" s="188"/>
      <c r="CW11" s="188"/>
      <c r="CX11" s="188"/>
      <c r="CY11" s="188"/>
      <c r="CZ11" s="188"/>
      <c r="DA11" s="188"/>
      <c r="DB11" s="188"/>
      <c r="DC11" s="188"/>
      <c r="DD11" s="188"/>
      <c r="DE11" s="188"/>
      <c r="DF11" s="188"/>
      <c r="DG11" s="188"/>
      <c r="DH11" s="188"/>
      <c r="DI11" s="188"/>
      <c r="DJ11" s="188"/>
      <c r="DK11" s="188"/>
      <c r="DL11" s="188"/>
      <c r="DM11" s="188"/>
      <c r="DN11" s="188"/>
      <c r="DO11" s="188"/>
      <c r="DP11" s="188"/>
      <c r="DQ11" s="188"/>
      <c r="DR11" s="188"/>
      <c r="DS11" s="188"/>
      <c r="DT11" s="188"/>
      <c r="DU11" s="188"/>
      <c r="DV11" s="188"/>
      <c r="DW11" s="188"/>
      <c r="DX11" s="188"/>
      <c r="DY11" s="188"/>
      <c r="DZ11" s="188"/>
      <c r="EA11" s="188"/>
      <c r="EB11" s="188"/>
      <c r="EC11" s="188"/>
      <c r="ED11" s="188"/>
      <c r="EE11" s="188"/>
      <c r="EF11" s="188"/>
      <c r="EG11" s="188"/>
      <c r="EH11" s="188"/>
      <c r="EI11" s="188"/>
      <c r="EJ11" s="188"/>
      <c r="EK11" s="188"/>
      <c r="EL11" s="188"/>
      <c r="EM11" s="188"/>
      <c r="EN11" s="188"/>
      <c r="EO11" s="188"/>
      <c r="EP11" s="188"/>
      <c r="EQ11" s="188"/>
      <c r="ER11" s="188"/>
      <c r="ES11" s="188"/>
      <c r="ET11" s="188"/>
      <c r="EU11" s="188"/>
      <c r="EV11" s="188"/>
      <c r="EW11" s="188"/>
      <c r="EX11" s="188"/>
      <c r="EY11" s="188"/>
      <c r="EZ11" s="188"/>
      <c r="FA11" s="188"/>
      <c r="FB11" s="188"/>
      <c r="FC11" s="188"/>
      <c r="FD11" s="188"/>
      <c r="FE11" s="188"/>
      <c r="FF11" s="188"/>
      <c r="FG11" s="188"/>
      <c r="FH11" s="188"/>
      <c r="FI11" s="188"/>
      <c r="FJ11" s="188"/>
      <c r="FK11" s="188"/>
      <c r="FL11" s="188"/>
      <c r="FM11" s="188"/>
      <c r="FN11" s="188"/>
      <c r="FO11" s="188"/>
      <c r="FP11" s="188"/>
      <c r="FQ11" s="188"/>
      <c r="FR11" s="188"/>
      <c r="FS11" s="188"/>
      <c r="FT11" s="188"/>
      <c r="FU11" s="188"/>
      <c r="FV11" s="188"/>
      <c r="FW11" s="188"/>
      <c r="FX11" s="188"/>
      <c r="FY11" s="188"/>
      <c r="FZ11" s="188"/>
      <c r="GA11" s="188"/>
      <c r="GB11" s="188"/>
      <c r="GC11" s="188"/>
      <c r="GD11" s="188"/>
      <c r="GE11" s="188"/>
      <c r="GF11" s="188"/>
      <c r="GG11" s="188"/>
      <c r="GH11" s="188"/>
      <c r="GI11" s="188"/>
      <c r="GJ11" s="188"/>
      <c r="GK11" s="188"/>
      <c r="GL11" s="188"/>
      <c r="GM11" s="188"/>
      <c r="GN11" s="188"/>
      <c r="GO11" s="188"/>
      <c r="GP11" s="188"/>
      <c r="GQ11" s="188"/>
      <c r="GR11" s="188"/>
      <c r="GS11" s="188"/>
      <c r="GT11" s="188"/>
      <c r="GU11" s="188"/>
      <c r="GV11" s="188"/>
      <c r="GW11" s="188"/>
      <c r="GX11" s="188"/>
      <c r="GY11" s="188"/>
      <c r="GZ11" s="188"/>
      <c r="HA11" s="188"/>
      <c r="HB11" s="188"/>
      <c r="HC11" s="188"/>
      <c r="HD11" s="188"/>
      <c r="HE11" s="188"/>
      <c r="HF11" s="188"/>
      <c r="HG11" s="188"/>
      <c r="HH11" s="188"/>
      <c r="HI11" s="188"/>
      <c r="HJ11" s="188"/>
      <c r="HK11" s="188"/>
      <c r="HL11" s="188"/>
      <c r="HM11" s="188"/>
      <c r="HN11" s="188"/>
      <c r="HO11" s="188"/>
      <c r="HP11" s="188"/>
      <c r="HQ11" s="188"/>
      <c r="HR11" s="188"/>
      <c r="HS11" s="188"/>
      <c r="HT11" s="188"/>
      <c r="HU11" s="188"/>
      <c r="HV11" s="188"/>
      <c r="HW11" s="188"/>
      <c r="HX11" s="188"/>
      <c r="HY11" s="188"/>
      <c r="HZ11" s="188"/>
      <c r="IA11" s="188"/>
      <c r="IB11" s="188"/>
      <c r="IC11" s="188"/>
      <c r="ID11" s="188"/>
      <c r="IE11" s="188"/>
      <c r="IF11" s="188"/>
      <c r="IG11" s="188"/>
      <c r="IH11" s="188"/>
      <c r="II11" s="188"/>
      <c r="IJ11" s="188"/>
      <c r="IK11" s="188"/>
      <c r="IL11" s="188"/>
      <c r="IM11" s="188"/>
      <c r="IN11" s="188"/>
      <c r="IO11" s="188"/>
      <c r="IP11" s="188"/>
      <c r="IQ11" s="188"/>
      <c r="IR11" s="188"/>
      <c r="IS11" s="188"/>
      <c r="IT11" s="188"/>
      <c r="IU11" s="188"/>
      <c r="IV11" s="188"/>
      <c r="IW11" s="188"/>
      <c r="IX11" s="188"/>
      <c r="IY11" s="188"/>
      <c r="IZ11" s="188"/>
      <c r="JA11" s="188"/>
      <c r="JB11" s="188"/>
      <c r="JC11" s="188"/>
      <c r="JD11" s="188"/>
      <c r="JE11" s="188"/>
      <c r="JF11" s="188"/>
      <c r="JG11" s="188"/>
      <c r="JH11" s="188"/>
      <c r="JI11" s="188"/>
      <c r="JJ11" s="188"/>
      <c r="JK11" s="188"/>
      <c r="JL11" s="188"/>
      <c r="JM11" s="188"/>
      <c r="JN11" s="188"/>
      <c r="JO11" s="188"/>
      <c r="JP11" s="188"/>
      <c r="JQ11" s="188"/>
      <c r="JR11" s="188"/>
      <c r="JS11" s="188"/>
      <c r="JT11" s="188"/>
      <c r="JU11" s="188"/>
      <c r="JV11" s="188"/>
      <c r="JW11" s="188"/>
      <c r="JX11" s="188"/>
      <c r="JY11" s="188"/>
      <c r="JZ11" s="188"/>
      <c r="KA11" s="188"/>
      <c r="KB11" s="188"/>
      <c r="KC11" s="188"/>
      <c r="KD11" s="188"/>
      <c r="KE11" s="188"/>
      <c r="KF11" s="188"/>
      <c r="KG11" s="188"/>
      <c r="KH11" s="188"/>
      <c r="KI11" s="188"/>
      <c r="KJ11" s="188"/>
      <c r="KK11" s="149"/>
      <c r="KL11"/>
      <c r="KM11"/>
      <c r="KN11"/>
      <c r="KO11"/>
      <c r="KP11"/>
      <c r="KQ11"/>
      <c r="KR11"/>
      <c r="KS11"/>
      <c r="KT11"/>
    </row>
    <row r="12" spans="1:306" s="181" customFormat="1" ht="18" customHeight="1">
      <c r="A12" s="153" t="s">
        <v>167</v>
      </c>
      <c r="B12" s="153">
        <v>3</v>
      </c>
      <c r="C12" s="153"/>
      <c r="D12" s="153"/>
      <c r="E12" s="153"/>
      <c r="F12" s="153"/>
      <c r="G12" s="153">
        <v>1</v>
      </c>
      <c r="H12" s="187"/>
      <c r="I12" s="190" t="s">
        <v>169</v>
      </c>
      <c r="J12" s="170" t="s">
        <v>294</v>
      </c>
      <c r="K12" s="213" t="s">
        <v>295</v>
      </c>
      <c r="L12" s="172" t="s">
        <v>168</v>
      </c>
      <c r="M12" s="173" t="s">
        <v>56</v>
      </c>
      <c r="N12" s="171"/>
      <c r="O12" s="174"/>
      <c r="P12" s="175"/>
      <c r="Q12" s="175"/>
      <c r="R12" s="176"/>
      <c r="S12" s="175">
        <v>44669.583333333336</v>
      </c>
      <c r="T12" s="175">
        <v>44671.583333333336</v>
      </c>
      <c r="U12" s="193">
        <v>18</v>
      </c>
      <c r="V12" s="171"/>
      <c r="W12" s="177">
        <v>100</v>
      </c>
      <c r="X12" s="178">
        <v>1</v>
      </c>
      <c r="Y12" s="175">
        <v>44670.833333333336</v>
      </c>
      <c r="Z12" s="175">
        <v>44671.5</v>
      </c>
      <c r="AA12" s="176">
        <v>3</v>
      </c>
      <c r="AB12" s="174"/>
      <c r="AC12" s="174"/>
      <c r="AD12" s="174"/>
      <c r="AE12" s="179"/>
      <c r="AF12" s="171"/>
      <c r="AG12" s="171"/>
      <c r="AH12" s="171"/>
      <c r="AI12" s="171"/>
      <c r="AJ12" s="171"/>
      <c r="AK12" s="171"/>
      <c r="AL12" s="171"/>
      <c r="AM12" s="171"/>
      <c r="AN12" s="171"/>
      <c r="AO12" s="171"/>
      <c r="AP12" s="171"/>
      <c r="AQ12" s="171"/>
      <c r="AR12" s="171"/>
      <c r="AS12" s="171"/>
      <c r="AT12" s="171"/>
      <c r="AU12" s="171"/>
      <c r="AV12" s="171"/>
      <c r="AW12" s="171"/>
      <c r="AX12" s="171"/>
      <c r="AY12" s="171"/>
      <c r="AZ12" s="171"/>
      <c r="BA12" s="171"/>
      <c r="BB12" s="171"/>
      <c r="BC12" s="171"/>
      <c r="BD12" s="180"/>
      <c r="BE12" s="188"/>
      <c r="BF12" s="188"/>
      <c r="BG12" s="188"/>
      <c r="BH12" s="188"/>
      <c r="BI12" s="188"/>
      <c r="BJ12" s="188"/>
      <c r="BK12" s="188"/>
      <c r="BL12" s="188"/>
      <c r="BM12" s="188"/>
      <c r="BN12" s="188"/>
      <c r="BO12" s="188"/>
      <c r="BP12" s="188"/>
      <c r="BQ12" s="188"/>
      <c r="BR12" s="188"/>
      <c r="BS12" s="188"/>
      <c r="BT12" s="188"/>
      <c r="BU12" s="188"/>
      <c r="BV12" s="188"/>
      <c r="BW12" s="188"/>
      <c r="BX12" s="188"/>
      <c r="BY12" s="188"/>
      <c r="BZ12" s="188"/>
      <c r="CA12" s="188"/>
      <c r="CB12" s="188"/>
      <c r="CC12" s="188"/>
      <c r="CD12" s="188"/>
      <c r="CE12" s="188"/>
      <c r="CF12" s="188"/>
      <c r="CG12" s="188"/>
      <c r="CH12" s="188"/>
      <c r="CI12" s="188"/>
      <c r="CJ12" s="188"/>
      <c r="CK12" s="188"/>
      <c r="CL12" s="188"/>
      <c r="CM12" s="188"/>
      <c r="CN12" s="188"/>
      <c r="CO12" s="188"/>
      <c r="CP12" s="188"/>
      <c r="CQ12" s="188"/>
      <c r="CR12" s="188"/>
      <c r="CS12" s="188"/>
      <c r="CT12" s="188"/>
      <c r="CU12" s="188"/>
      <c r="CV12" s="188"/>
      <c r="CW12" s="188"/>
      <c r="CX12" s="188"/>
      <c r="CY12" s="188"/>
      <c r="CZ12" s="188"/>
      <c r="DA12" s="188"/>
      <c r="DB12" s="188"/>
      <c r="DC12" s="188"/>
      <c r="DD12" s="188"/>
      <c r="DE12" s="188"/>
      <c r="DF12" s="188"/>
      <c r="DG12" s="188"/>
      <c r="DH12" s="188"/>
      <c r="DI12" s="188"/>
      <c r="DJ12" s="188"/>
      <c r="DK12" s="188"/>
      <c r="DL12" s="188"/>
      <c r="DM12" s="188"/>
      <c r="DN12" s="188"/>
      <c r="DO12" s="188"/>
      <c r="DP12" s="188"/>
      <c r="DQ12" s="188"/>
      <c r="DR12" s="188"/>
      <c r="DS12" s="188"/>
      <c r="DT12" s="188"/>
      <c r="DU12" s="188"/>
      <c r="DV12" s="188"/>
      <c r="DW12" s="188"/>
      <c r="DX12" s="188"/>
      <c r="DY12" s="188"/>
      <c r="DZ12" s="188"/>
      <c r="EA12" s="188"/>
      <c r="EB12" s="188"/>
      <c r="EC12" s="188"/>
      <c r="ED12" s="188"/>
      <c r="EE12" s="188"/>
      <c r="EF12" s="188"/>
      <c r="EG12" s="188"/>
      <c r="EH12" s="188"/>
      <c r="EI12" s="188"/>
      <c r="EJ12" s="188"/>
      <c r="EK12" s="188"/>
      <c r="EL12" s="188"/>
      <c r="EM12" s="188"/>
      <c r="EN12" s="188"/>
      <c r="EO12" s="188"/>
      <c r="EP12" s="188"/>
      <c r="EQ12" s="188"/>
      <c r="ER12" s="188"/>
      <c r="ES12" s="188"/>
      <c r="ET12" s="188"/>
      <c r="EU12" s="188"/>
      <c r="EV12" s="188"/>
      <c r="EW12" s="188"/>
      <c r="EX12" s="188"/>
      <c r="EY12" s="188"/>
      <c r="EZ12" s="188"/>
      <c r="FA12" s="188"/>
      <c r="FB12" s="188"/>
      <c r="FC12" s="188"/>
      <c r="FD12" s="188"/>
      <c r="FE12" s="188"/>
      <c r="FF12" s="188"/>
      <c r="FG12" s="188"/>
      <c r="FH12" s="188"/>
      <c r="FI12" s="188"/>
      <c r="FJ12" s="188"/>
      <c r="FK12" s="188"/>
      <c r="FL12" s="188"/>
      <c r="FM12" s="188"/>
      <c r="FN12" s="188"/>
      <c r="FO12" s="188"/>
      <c r="FP12" s="188"/>
      <c r="FQ12" s="188"/>
      <c r="FR12" s="188"/>
      <c r="FS12" s="188"/>
      <c r="FT12" s="188"/>
      <c r="FU12" s="188"/>
      <c r="FV12" s="188"/>
      <c r="FW12" s="188"/>
      <c r="FX12" s="188"/>
      <c r="FY12" s="188"/>
      <c r="FZ12" s="188"/>
      <c r="GA12" s="188"/>
      <c r="GB12" s="188"/>
      <c r="GC12" s="188"/>
      <c r="GD12" s="188"/>
      <c r="GE12" s="188"/>
      <c r="GF12" s="188"/>
      <c r="GG12" s="188"/>
      <c r="GH12" s="188"/>
      <c r="GI12" s="188"/>
      <c r="GJ12" s="188"/>
      <c r="GK12" s="188"/>
      <c r="GL12" s="188"/>
      <c r="GM12" s="188"/>
      <c r="GN12" s="188"/>
      <c r="GO12" s="188"/>
      <c r="GP12" s="188"/>
      <c r="GQ12" s="188"/>
      <c r="GR12" s="188"/>
      <c r="GS12" s="188"/>
      <c r="GT12" s="188"/>
      <c r="GU12" s="188"/>
      <c r="GV12" s="188"/>
      <c r="GW12" s="188"/>
      <c r="GX12" s="188"/>
      <c r="GY12" s="188"/>
      <c r="GZ12" s="188"/>
      <c r="HA12" s="188"/>
      <c r="HB12" s="188"/>
      <c r="HC12" s="188"/>
      <c r="HD12" s="188"/>
      <c r="HE12" s="188"/>
      <c r="HF12" s="188"/>
      <c r="HG12" s="188"/>
      <c r="HH12" s="188"/>
      <c r="HI12" s="188"/>
      <c r="HJ12" s="188"/>
      <c r="HK12" s="188"/>
      <c r="HL12" s="188"/>
      <c r="HM12" s="188"/>
      <c r="HN12" s="188"/>
      <c r="HO12" s="188"/>
      <c r="HP12" s="188"/>
      <c r="HQ12" s="188"/>
      <c r="HR12" s="188"/>
      <c r="HS12" s="188"/>
      <c r="HT12" s="188"/>
      <c r="HU12" s="188"/>
      <c r="HV12" s="188"/>
      <c r="HW12" s="188"/>
      <c r="HX12" s="188"/>
      <c r="HY12" s="188"/>
      <c r="HZ12" s="188"/>
      <c r="IA12" s="188"/>
      <c r="IB12" s="188"/>
      <c r="IC12" s="188"/>
      <c r="ID12" s="188"/>
      <c r="IE12" s="188"/>
      <c r="IF12" s="188"/>
      <c r="IG12" s="188"/>
      <c r="IH12" s="188"/>
      <c r="II12" s="188"/>
      <c r="IJ12" s="188"/>
      <c r="IK12" s="188"/>
      <c r="IL12" s="188"/>
      <c r="IM12" s="188"/>
      <c r="IN12" s="188"/>
      <c r="IO12" s="188"/>
      <c r="IP12" s="188"/>
      <c r="IQ12" s="188"/>
      <c r="IR12" s="188"/>
      <c r="IS12" s="188"/>
      <c r="IT12" s="188"/>
      <c r="IU12" s="188"/>
      <c r="IV12" s="188"/>
      <c r="IW12" s="188"/>
      <c r="IX12" s="188"/>
      <c r="IY12" s="188"/>
      <c r="IZ12" s="188"/>
      <c r="JA12" s="188"/>
      <c r="JB12" s="188"/>
      <c r="JC12" s="188"/>
      <c r="JD12" s="188"/>
      <c r="JE12" s="188"/>
      <c r="JF12" s="188"/>
      <c r="JG12" s="188"/>
      <c r="JH12" s="188"/>
      <c r="JI12" s="188"/>
      <c r="JJ12" s="188"/>
      <c r="JK12" s="188"/>
      <c r="JL12" s="188"/>
      <c r="JM12" s="188"/>
      <c r="JN12" s="188"/>
      <c r="JO12" s="188"/>
      <c r="JP12" s="188"/>
      <c r="JQ12" s="188"/>
      <c r="JR12" s="188"/>
      <c r="JS12" s="188"/>
      <c r="JT12" s="188"/>
      <c r="JU12" s="188"/>
      <c r="JV12" s="188"/>
      <c r="JW12" s="188"/>
      <c r="JX12" s="188"/>
      <c r="JY12" s="188"/>
      <c r="JZ12" s="188"/>
      <c r="KA12" s="188"/>
      <c r="KB12" s="188"/>
      <c r="KC12" s="188"/>
      <c r="KD12" s="188"/>
      <c r="KE12" s="188"/>
      <c r="KF12" s="188"/>
      <c r="KG12" s="188"/>
      <c r="KH12" s="188"/>
      <c r="KI12" s="188"/>
      <c r="KJ12" s="188"/>
      <c r="KK12" s="149"/>
      <c r="KL12"/>
      <c r="KM12"/>
      <c r="KN12"/>
      <c r="KO12"/>
      <c r="KP12"/>
      <c r="KQ12"/>
      <c r="KR12"/>
      <c r="KS12"/>
      <c r="KT12"/>
    </row>
    <row r="13" spans="1:306" s="181" customFormat="1" ht="18" customHeight="1">
      <c r="A13" s="153" t="s">
        <v>167</v>
      </c>
      <c r="B13" s="153">
        <v>5</v>
      </c>
      <c r="C13" s="153"/>
      <c r="D13" s="153"/>
      <c r="E13" s="153"/>
      <c r="F13" s="153"/>
      <c r="G13" s="153">
        <v>1</v>
      </c>
      <c r="H13" s="187"/>
      <c r="I13" s="190" t="s">
        <v>169</v>
      </c>
      <c r="J13" s="170" t="s">
        <v>297</v>
      </c>
      <c r="K13" s="213" t="s">
        <v>296</v>
      </c>
      <c r="L13" s="172" t="s">
        <v>168</v>
      </c>
      <c r="M13" s="173" t="s">
        <v>56</v>
      </c>
      <c r="N13" s="171"/>
      <c r="O13" s="174"/>
      <c r="P13" s="175"/>
      <c r="Q13" s="175"/>
      <c r="R13" s="176"/>
      <c r="S13" s="175">
        <v>44669.583333333336</v>
      </c>
      <c r="T13" s="175">
        <v>44671.583333333336</v>
      </c>
      <c r="U13" s="193">
        <v>18</v>
      </c>
      <c r="V13" s="171"/>
      <c r="W13" s="177">
        <v>100</v>
      </c>
      <c r="X13" s="178">
        <v>1</v>
      </c>
      <c r="Y13" s="175"/>
      <c r="Z13" s="175"/>
      <c r="AA13" s="176"/>
      <c r="AB13" s="174"/>
      <c r="AC13" s="174"/>
      <c r="AD13" s="174"/>
      <c r="AE13" s="179"/>
      <c r="AF13" s="171"/>
      <c r="AG13" s="171"/>
      <c r="AH13" s="171"/>
      <c r="AI13" s="171"/>
      <c r="AJ13" s="171"/>
      <c r="AK13" s="171"/>
      <c r="AL13" s="171"/>
      <c r="AM13" s="171"/>
      <c r="AN13" s="171"/>
      <c r="AO13" s="171"/>
      <c r="AP13" s="171"/>
      <c r="AQ13" s="171"/>
      <c r="AR13" s="171"/>
      <c r="AS13" s="171"/>
      <c r="AT13" s="171"/>
      <c r="AU13" s="171"/>
      <c r="AV13" s="171"/>
      <c r="AW13" s="171"/>
      <c r="AX13" s="171"/>
      <c r="AY13" s="171"/>
      <c r="AZ13" s="171"/>
      <c r="BA13" s="171"/>
      <c r="BB13" s="171"/>
      <c r="BC13" s="171"/>
      <c r="BD13" s="180"/>
      <c r="BE13" s="188"/>
      <c r="BF13" s="188"/>
      <c r="BG13" s="188"/>
      <c r="BH13" s="188"/>
      <c r="BI13" s="188"/>
      <c r="BJ13" s="188"/>
      <c r="BK13" s="188"/>
      <c r="BL13" s="188"/>
      <c r="BM13" s="188"/>
      <c r="BN13" s="188"/>
      <c r="BO13" s="188"/>
      <c r="BP13" s="188"/>
      <c r="BQ13" s="188"/>
      <c r="BR13" s="188"/>
      <c r="BS13" s="188"/>
      <c r="BT13" s="188"/>
      <c r="BU13" s="188"/>
      <c r="BV13" s="188"/>
      <c r="BW13" s="188"/>
      <c r="BX13" s="188"/>
      <c r="BY13" s="188"/>
      <c r="BZ13" s="188"/>
      <c r="CA13" s="188"/>
      <c r="CB13" s="188"/>
      <c r="CC13" s="188"/>
      <c r="CD13" s="188"/>
      <c r="CE13" s="188"/>
      <c r="CF13" s="188"/>
      <c r="CG13" s="188"/>
      <c r="CH13" s="188"/>
      <c r="CI13" s="188"/>
      <c r="CJ13" s="188"/>
      <c r="CK13" s="188"/>
      <c r="CL13" s="188"/>
      <c r="CM13" s="188"/>
      <c r="CN13" s="188"/>
      <c r="CO13" s="188"/>
      <c r="CP13" s="188"/>
      <c r="CQ13" s="188"/>
      <c r="CR13" s="188"/>
      <c r="CS13" s="188"/>
      <c r="CT13" s="188"/>
      <c r="CU13" s="188"/>
      <c r="CV13" s="188"/>
      <c r="CW13" s="188"/>
      <c r="CX13" s="188"/>
      <c r="CY13" s="188"/>
      <c r="CZ13" s="188"/>
      <c r="DA13" s="188"/>
      <c r="DB13" s="188"/>
      <c r="DC13" s="188"/>
      <c r="DD13" s="188"/>
      <c r="DE13" s="188"/>
      <c r="DF13" s="188"/>
      <c r="DG13" s="188"/>
      <c r="DH13" s="188"/>
      <c r="DI13" s="188"/>
      <c r="DJ13" s="188"/>
      <c r="DK13" s="188"/>
      <c r="DL13" s="188"/>
      <c r="DM13" s="188"/>
      <c r="DN13" s="188"/>
      <c r="DO13" s="188"/>
      <c r="DP13" s="188"/>
      <c r="DQ13" s="188"/>
      <c r="DR13" s="188"/>
      <c r="DS13" s="188"/>
      <c r="DT13" s="188"/>
      <c r="DU13" s="188"/>
      <c r="DV13" s="188"/>
      <c r="DW13" s="188"/>
      <c r="DX13" s="188"/>
      <c r="DY13" s="188"/>
      <c r="DZ13" s="188"/>
      <c r="EA13" s="188"/>
      <c r="EB13" s="188"/>
      <c r="EC13" s="188"/>
      <c r="ED13" s="188"/>
      <c r="EE13" s="188"/>
      <c r="EF13" s="188"/>
      <c r="EG13" s="188"/>
      <c r="EH13" s="188"/>
      <c r="EI13" s="188"/>
      <c r="EJ13" s="188"/>
      <c r="EK13" s="188"/>
      <c r="EL13" s="188"/>
      <c r="EM13" s="188"/>
      <c r="EN13" s="188"/>
      <c r="EO13" s="188"/>
      <c r="EP13" s="188"/>
      <c r="EQ13" s="188"/>
      <c r="ER13" s="188"/>
      <c r="ES13" s="188"/>
      <c r="ET13" s="188"/>
      <c r="EU13" s="188"/>
      <c r="EV13" s="188"/>
      <c r="EW13" s="188"/>
      <c r="EX13" s="188"/>
      <c r="EY13" s="188"/>
      <c r="EZ13" s="188"/>
      <c r="FA13" s="188"/>
      <c r="FB13" s="188"/>
      <c r="FC13" s="188"/>
      <c r="FD13" s="188"/>
      <c r="FE13" s="188"/>
      <c r="FF13" s="188"/>
      <c r="FG13" s="188"/>
      <c r="FH13" s="188"/>
      <c r="FI13" s="188"/>
      <c r="FJ13" s="188"/>
      <c r="FK13" s="188"/>
      <c r="FL13" s="188"/>
      <c r="FM13" s="188"/>
      <c r="FN13" s="188"/>
      <c r="FO13" s="188"/>
      <c r="FP13" s="188"/>
      <c r="FQ13" s="188"/>
      <c r="FR13" s="188"/>
      <c r="FS13" s="188"/>
      <c r="FT13" s="188"/>
      <c r="FU13" s="188"/>
      <c r="FV13" s="188"/>
      <c r="FW13" s="188"/>
      <c r="FX13" s="188"/>
      <c r="FY13" s="188"/>
      <c r="FZ13" s="188"/>
      <c r="GA13" s="188"/>
      <c r="GB13" s="188"/>
      <c r="GC13" s="188"/>
      <c r="GD13" s="188"/>
      <c r="GE13" s="188"/>
      <c r="GF13" s="188"/>
      <c r="GG13" s="188"/>
      <c r="GH13" s="188"/>
      <c r="GI13" s="188"/>
      <c r="GJ13" s="188"/>
      <c r="GK13" s="188"/>
      <c r="GL13" s="188"/>
      <c r="GM13" s="188"/>
      <c r="GN13" s="188"/>
      <c r="GO13" s="188"/>
      <c r="GP13" s="188"/>
      <c r="GQ13" s="188"/>
      <c r="GR13" s="188"/>
      <c r="GS13" s="188"/>
      <c r="GT13" s="188"/>
      <c r="GU13" s="188"/>
      <c r="GV13" s="188"/>
      <c r="GW13" s="188"/>
      <c r="GX13" s="188"/>
      <c r="GY13" s="188"/>
      <c r="GZ13" s="188"/>
      <c r="HA13" s="188"/>
      <c r="HB13" s="188"/>
      <c r="HC13" s="188"/>
      <c r="HD13" s="188"/>
      <c r="HE13" s="188"/>
      <c r="HF13" s="188"/>
      <c r="HG13" s="188"/>
      <c r="HH13" s="188"/>
      <c r="HI13" s="188"/>
      <c r="HJ13" s="188"/>
      <c r="HK13" s="188"/>
      <c r="HL13" s="188"/>
      <c r="HM13" s="188"/>
      <c r="HN13" s="188"/>
      <c r="HO13" s="188"/>
      <c r="HP13" s="188"/>
      <c r="HQ13" s="188"/>
      <c r="HR13" s="188"/>
      <c r="HS13" s="188"/>
      <c r="HT13" s="188"/>
      <c r="HU13" s="188"/>
      <c r="HV13" s="188"/>
      <c r="HW13" s="188"/>
      <c r="HX13" s="188"/>
      <c r="HY13" s="188"/>
      <c r="HZ13" s="188"/>
      <c r="IA13" s="188"/>
      <c r="IB13" s="188"/>
      <c r="IC13" s="188"/>
      <c r="ID13" s="188"/>
      <c r="IE13" s="188"/>
      <c r="IF13" s="188"/>
      <c r="IG13" s="188"/>
      <c r="IH13" s="188"/>
      <c r="II13" s="188"/>
      <c r="IJ13" s="188"/>
      <c r="IK13" s="188"/>
      <c r="IL13" s="188"/>
      <c r="IM13" s="188"/>
      <c r="IN13" s="188"/>
      <c r="IO13" s="188"/>
      <c r="IP13" s="188"/>
      <c r="IQ13" s="188"/>
      <c r="IR13" s="188"/>
      <c r="IS13" s="188"/>
      <c r="IT13" s="188"/>
      <c r="IU13" s="188"/>
      <c r="IV13" s="188"/>
      <c r="IW13" s="188"/>
      <c r="IX13" s="188"/>
      <c r="IY13" s="188"/>
      <c r="IZ13" s="188"/>
      <c r="JA13" s="188"/>
      <c r="JB13" s="188"/>
      <c r="JC13" s="188"/>
      <c r="JD13" s="188"/>
      <c r="JE13" s="188"/>
      <c r="JF13" s="188"/>
      <c r="JG13" s="188"/>
      <c r="JH13" s="188"/>
      <c r="JI13" s="188"/>
      <c r="JJ13" s="188"/>
      <c r="JK13" s="188"/>
      <c r="JL13" s="188"/>
      <c r="JM13" s="188"/>
      <c r="JN13" s="188"/>
      <c r="JO13" s="188"/>
      <c r="JP13" s="188"/>
      <c r="JQ13" s="188"/>
      <c r="JR13" s="188"/>
      <c r="JS13" s="188"/>
      <c r="JT13" s="188"/>
      <c r="JU13" s="188"/>
      <c r="JV13" s="188"/>
      <c r="JW13" s="188"/>
      <c r="JX13" s="188"/>
      <c r="JY13" s="188"/>
      <c r="JZ13" s="188"/>
      <c r="KA13" s="188"/>
      <c r="KB13" s="188"/>
      <c r="KC13" s="188"/>
      <c r="KD13" s="188"/>
      <c r="KE13" s="188"/>
      <c r="KF13" s="188"/>
      <c r="KG13" s="188"/>
      <c r="KH13" s="188"/>
      <c r="KI13" s="188"/>
      <c r="KJ13" s="188"/>
      <c r="KK13" s="149"/>
      <c r="KL13"/>
      <c r="KM13"/>
      <c r="KN13"/>
      <c r="KO13"/>
      <c r="KP13"/>
      <c r="KQ13"/>
      <c r="KR13"/>
      <c r="KS13"/>
      <c r="KT13"/>
    </row>
    <row r="14" spans="1:306" s="181" customFormat="1" ht="18" customHeight="1">
      <c r="A14" s="153" t="s">
        <v>167</v>
      </c>
      <c r="B14" s="153">
        <v>6</v>
      </c>
      <c r="C14" s="153"/>
      <c r="D14" s="153"/>
      <c r="E14" s="153"/>
      <c r="F14" s="153"/>
      <c r="G14" s="153">
        <v>1</v>
      </c>
      <c r="H14" s="191"/>
      <c r="I14" s="214" t="s">
        <v>169</v>
      </c>
      <c r="J14" s="195" t="s">
        <v>299</v>
      </c>
      <c r="K14" s="215" t="s">
        <v>298</v>
      </c>
      <c r="L14" s="189" t="s">
        <v>168</v>
      </c>
      <c r="M14" s="197" t="s">
        <v>56</v>
      </c>
      <c r="N14" s="196"/>
      <c r="O14" s="198"/>
      <c r="P14" s="199"/>
      <c r="Q14" s="199"/>
      <c r="R14" s="200"/>
      <c r="S14" s="199">
        <v>44671.583333333336</v>
      </c>
      <c r="T14" s="199">
        <v>44671.708333333336</v>
      </c>
      <c r="U14" s="216">
        <v>3</v>
      </c>
      <c r="V14" s="196"/>
      <c r="W14" s="201">
        <v>100</v>
      </c>
      <c r="X14" s="202">
        <v>1</v>
      </c>
      <c r="Y14" s="199"/>
      <c r="Z14" s="199"/>
      <c r="AA14" s="200"/>
      <c r="AB14" s="198"/>
      <c r="AC14" s="198"/>
      <c r="AD14" s="198"/>
      <c r="AE14" s="203"/>
      <c r="AF14" s="196"/>
      <c r="AG14" s="196"/>
      <c r="AH14" s="196"/>
      <c r="AI14" s="196"/>
      <c r="AJ14" s="196"/>
      <c r="AK14" s="196"/>
      <c r="AL14" s="196"/>
      <c r="AM14" s="196"/>
      <c r="AN14" s="196"/>
      <c r="AO14" s="196"/>
      <c r="AP14" s="196"/>
      <c r="AQ14" s="196"/>
      <c r="AR14" s="196"/>
      <c r="AS14" s="196"/>
      <c r="AT14" s="196"/>
      <c r="AU14" s="196"/>
      <c r="AV14" s="196"/>
      <c r="AW14" s="196"/>
      <c r="AX14" s="196"/>
      <c r="AY14" s="196"/>
      <c r="AZ14" s="196"/>
      <c r="BA14" s="196"/>
      <c r="BB14" s="196"/>
      <c r="BC14" s="196"/>
      <c r="BD14" s="204"/>
      <c r="BE14" s="192"/>
      <c r="BF14" s="192"/>
      <c r="BG14" s="192"/>
      <c r="BH14" s="192"/>
      <c r="BI14" s="192"/>
      <c r="BJ14" s="192"/>
      <c r="BK14" s="192"/>
      <c r="BL14" s="192"/>
      <c r="BM14" s="192"/>
      <c r="BN14" s="192"/>
      <c r="BO14" s="192"/>
      <c r="BP14" s="192"/>
      <c r="BQ14" s="192"/>
      <c r="BR14" s="192"/>
      <c r="BS14" s="192"/>
      <c r="BT14" s="192"/>
      <c r="BU14" s="192"/>
      <c r="BV14" s="192"/>
      <c r="BW14" s="192"/>
      <c r="BX14" s="192"/>
      <c r="BY14" s="192"/>
      <c r="BZ14" s="192"/>
      <c r="CA14" s="192"/>
      <c r="CB14" s="192"/>
      <c r="CC14" s="192"/>
      <c r="CD14" s="192"/>
      <c r="CE14" s="192"/>
      <c r="CF14" s="192"/>
      <c r="CG14" s="192"/>
      <c r="CH14" s="192"/>
      <c r="CI14" s="192"/>
      <c r="CJ14" s="192"/>
      <c r="CK14" s="192"/>
      <c r="CL14" s="192"/>
      <c r="CM14" s="192"/>
      <c r="CN14" s="192"/>
      <c r="CO14" s="192"/>
      <c r="CP14" s="192"/>
      <c r="CQ14" s="192"/>
      <c r="CR14" s="192"/>
      <c r="CS14" s="192"/>
      <c r="CT14" s="192"/>
      <c r="CU14" s="192"/>
      <c r="CV14" s="192"/>
      <c r="CW14" s="192"/>
      <c r="CX14" s="192"/>
      <c r="CY14" s="192"/>
      <c r="CZ14" s="192"/>
      <c r="DA14" s="192"/>
      <c r="DB14" s="192"/>
      <c r="DC14" s="192"/>
      <c r="DD14" s="192"/>
      <c r="DE14" s="192"/>
      <c r="DF14" s="192"/>
      <c r="DG14" s="192"/>
      <c r="DH14" s="192"/>
      <c r="DI14" s="192"/>
      <c r="DJ14" s="192"/>
      <c r="DK14" s="192"/>
      <c r="DL14" s="192"/>
      <c r="DM14" s="192"/>
      <c r="DN14" s="192"/>
      <c r="DO14" s="192"/>
      <c r="DP14" s="192"/>
      <c r="DQ14" s="192"/>
      <c r="DR14" s="192"/>
      <c r="DS14" s="192"/>
      <c r="DT14" s="192"/>
      <c r="DU14" s="192"/>
      <c r="DV14" s="192"/>
      <c r="DW14" s="192"/>
      <c r="DX14" s="192"/>
      <c r="DY14" s="192"/>
      <c r="DZ14" s="192"/>
      <c r="EA14" s="192"/>
      <c r="EB14" s="192"/>
      <c r="EC14" s="192"/>
      <c r="ED14" s="192"/>
      <c r="EE14" s="192"/>
      <c r="EF14" s="192"/>
      <c r="EG14" s="192"/>
      <c r="EH14" s="192"/>
      <c r="EI14" s="192"/>
      <c r="EJ14" s="192"/>
      <c r="EK14" s="192"/>
      <c r="EL14" s="192"/>
      <c r="EM14" s="192"/>
      <c r="EN14" s="192"/>
      <c r="EO14" s="192"/>
      <c r="EP14" s="192"/>
      <c r="EQ14" s="192"/>
      <c r="ER14" s="192"/>
      <c r="ES14" s="192"/>
      <c r="ET14" s="192"/>
      <c r="EU14" s="192"/>
      <c r="EV14" s="192"/>
      <c r="EW14" s="192"/>
      <c r="EX14" s="192"/>
      <c r="EY14" s="192"/>
      <c r="EZ14" s="192"/>
      <c r="FA14" s="192"/>
      <c r="FB14" s="192"/>
      <c r="FC14" s="192"/>
      <c r="FD14" s="192"/>
      <c r="FE14" s="192"/>
      <c r="FF14" s="192"/>
      <c r="FG14" s="192"/>
      <c r="FH14" s="192"/>
      <c r="FI14" s="192"/>
      <c r="FJ14" s="192"/>
      <c r="FK14" s="192"/>
      <c r="FL14" s="192"/>
      <c r="FM14" s="192"/>
      <c r="FN14" s="192"/>
      <c r="FO14" s="192"/>
      <c r="FP14" s="192"/>
      <c r="FQ14" s="192"/>
      <c r="FR14" s="192"/>
      <c r="FS14" s="192"/>
      <c r="FT14" s="192"/>
      <c r="FU14" s="192"/>
      <c r="FV14" s="192"/>
      <c r="FW14" s="192"/>
      <c r="FX14" s="192"/>
      <c r="FY14" s="192"/>
      <c r="FZ14" s="192"/>
      <c r="GA14" s="192"/>
      <c r="GB14" s="192"/>
      <c r="GC14" s="192"/>
      <c r="GD14" s="192"/>
      <c r="GE14" s="192"/>
      <c r="GF14" s="192"/>
      <c r="GG14" s="192"/>
      <c r="GH14" s="192"/>
      <c r="GI14" s="192"/>
      <c r="GJ14" s="192"/>
      <c r="GK14" s="192"/>
      <c r="GL14" s="192"/>
      <c r="GM14" s="192"/>
      <c r="GN14" s="192"/>
      <c r="GO14" s="192"/>
      <c r="GP14" s="192"/>
      <c r="GQ14" s="192"/>
      <c r="GR14" s="192"/>
      <c r="GS14" s="192"/>
      <c r="GT14" s="192"/>
      <c r="GU14" s="192"/>
      <c r="GV14" s="192"/>
      <c r="GW14" s="192"/>
      <c r="GX14" s="192"/>
      <c r="GY14" s="192"/>
      <c r="GZ14" s="192"/>
      <c r="HA14" s="192"/>
      <c r="HB14" s="192"/>
      <c r="HC14" s="192"/>
      <c r="HD14" s="192"/>
      <c r="HE14" s="192"/>
      <c r="HF14" s="192"/>
      <c r="HG14" s="192"/>
      <c r="HH14" s="192"/>
      <c r="HI14" s="192"/>
      <c r="HJ14" s="192"/>
      <c r="HK14" s="192"/>
      <c r="HL14" s="192"/>
      <c r="HM14" s="192"/>
      <c r="HN14" s="192"/>
      <c r="HO14" s="192"/>
      <c r="HP14" s="192"/>
      <c r="HQ14" s="192"/>
      <c r="HR14" s="192"/>
      <c r="HS14" s="192"/>
      <c r="HT14" s="192"/>
      <c r="HU14" s="192"/>
      <c r="HV14" s="192"/>
      <c r="HW14" s="192"/>
      <c r="HX14" s="192"/>
      <c r="HY14" s="192"/>
      <c r="HZ14" s="192"/>
      <c r="IA14" s="192"/>
      <c r="IB14" s="192"/>
      <c r="IC14" s="192"/>
      <c r="ID14" s="192"/>
      <c r="IE14" s="192"/>
      <c r="IF14" s="192"/>
      <c r="IG14" s="192"/>
      <c r="IH14" s="192"/>
      <c r="II14" s="192"/>
      <c r="IJ14" s="192"/>
      <c r="IK14" s="192"/>
      <c r="IL14" s="192"/>
      <c r="IM14" s="192"/>
      <c r="IN14" s="192"/>
      <c r="IO14" s="192"/>
      <c r="IP14" s="192"/>
      <c r="IQ14" s="192"/>
      <c r="IR14" s="192"/>
      <c r="IS14" s="192"/>
      <c r="IT14" s="192"/>
      <c r="IU14" s="192"/>
      <c r="IV14" s="192"/>
      <c r="IW14" s="192"/>
      <c r="IX14" s="192"/>
      <c r="IY14" s="192"/>
      <c r="IZ14" s="192"/>
      <c r="JA14" s="192"/>
      <c r="JB14" s="192"/>
      <c r="JC14" s="192"/>
      <c r="JD14" s="192"/>
      <c r="JE14" s="192"/>
      <c r="JF14" s="192"/>
      <c r="JG14" s="192"/>
      <c r="JH14" s="192"/>
      <c r="JI14" s="192"/>
      <c r="JJ14" s="192"/>
      <c r="JK14" s="192"/>
      <c r="JL14" s="192"/>
      <c r="JM14" s="192"/>
      <c r="JN14" s="192"/>
      <c r="JO14" s="192"/>
      <c r="JP14" s="192"/>
      <c r="JQ14" s="192"/>
      <c r="JR14" s="192"/>
      <c r="JS14" s="192"/>
      <c r="JT14" s="192"/>
      <c r="JU14" s="192"/>
      <c r="JV14" s="192"/>
      <c r="JW14" s="192"/>
      <c r="JX14" s="192"/>
      <c r="JY14" s="192"/>
      <c r="JZ14" s="192"/>
      <c r="KA14" s="192"/>
      <c r="KB14" s="192"/>
      <c r="KC14" s="192"/>
      <c r="KD14" s="192"/>
      <c r="KE14" s="192"/>
      <c r="KF14" s="192"/>
      <c r="KG14" s="192"/>
      <c r="KH14" s="192"/>
      <c r="KI14" s="192"/>
      <c r="KJ14" s="192"/>
      <c r="KK14" s="149"/>
      <c r="KL14"/>
      <c r="KM14"/>
      <c r="KN14"/>
      <c r="KO14"/>
      <c r="KP14"/>
      <c r="KQ14"/>
      <c r="KR14"/>
      <c r="KS14"/>
      <c r="KT14"/>
    </row>
    <row r="15" spans="1:306" s="181" customFormat="1" ht="18" customHeight="1">
      <c r="A15" s="153" t="s">
        <v>167</v>
      </c>
      <c r="B15" s="153">
        <v>7</v>
      </c>
      <c r="C15" s="153"/>
      <c r="D15" s="153"/>
      <c r="E15" s="153"/>
      <c r="F15" s="153"/>
      <c r="G15" s="153">
        <v>1</v>
      </c>
      <c r="H15" s="268"/>
      <c r="I15" s="269" t="s">
        <v>169</v>
      </c>
      <c r="J15" s="240" t="s">
        <v>301</v>
      </c>
      <c r="K15" s="241" t="s">
        <v>300</v>
      </c>
      <c r="L15" s="235" t="s">
        <v>168</v>
      </c>
      <c r="M15" s="242" t="s">
        <v>355</v>
      </c>
      <c r="N15" s="237"/>
      <c r="O15" s="243"/>
      <c r="P15" s="244"/>
      <c r="Q15" s="244"/>
      <c r="R15" s="245"/>
      <c r="S15" s="244">
        <v>44672.375</v>
      </c>
      <c r="T15" s="244">
        <v>44672.583333333336</v>
      </c>
      <c r="U15" s="246">
        <v>5</v>
      </c>
      <c r="V15" s="237"/>
      <c r="W15" s="236">
        <v>0</v>
      </c>
      <c r="X15" s="247">
        <v>0.6</v>
      </c>
      <c r="Y15" s="244"/>
      <c r="Z15" s="244"/>
      <c r="AA15" s="245"/>
      <c r="AB15" s="243"/>
      <c r="AC15" s="243"/>
      <c r="AD15" s="243"/>
      <c r="AE15" s="248"/>
      <c r="AF15" s="237"/>
      <c r="AG15" s="237"/>
      <c r="AH15" s="237"/>
      <c r="AI15" s="237"/>
      <c r="AJ15" s="237"/>
      <c r="AK15" s="237"/>
      <c r="AL15" s="237"/>
      <c r="AM15" s="237"/>
      <c r="AN15" s="237"/>
      <c r="AO15" s="237"/>
      <c r="AP15" s="237"/>
      <c r="AQ15" s="237"/>
      <c r="AR15" s="237"/>
      <c r="AS15" s="237"/>
      <c r="AT15" s="237"/>
      <c r="AU15" s="237"/>
      <c r="AV15" s="237"/>
      <c r="AW15" s="237"/>
      <c r="AX15" s="237"/>
      <c r="AY15" s="237"/>
      <c r="AZ15" s="237"/>
      <c r="BA15" s="237"/>
      <c r="BB15" s="237"/>
      <c r="BC15" s="237"/>
      <c r="BD15" s="238"/>
      <c r="BE15" s="239"/>
      <c r="BF15" s="239"/>
      <c r="BG15" s="239"/>
      <c r="BH15" s="239"/>
      <c r="BI15" s="239"/>
      <c r="BJ15" s="239"/>
      <c r="BK15" s="239"/>
      <c r="BL15" s="239"/>
      <c r="BM15" s="239"/>
      <c r="BN15" s="239"/>
      <c r="BO15" s="239"/>
      <c r="BP15" s="239"/>
      <c r="BQ15" s="239"/>
      <c r="BR15" s="239"/>
      <c r="BS15" s="239"/>
      <c r="BT15" s="239"/>
      <c r="BU15" s="239"/>
      <c r="BV15" s="239"/>
      <c r="BW15" s="239"/>
      <c r="BX15" s="239"/>
      <c r="BY15" s="239"/>
      <c r="BZ15" s="239"/>
      <c r="CA15" s="239"/>
      <c r="CB15" s="239"/>
      <c r="CC15" s="239"/>
      <c r="CD15" s="239"/>
      <c r="CE15" s="239"/>
      <c r="CF15" s="239"/>
      <c r="CG15" s="239"/>
      <c r="CH15" s="239"/>
      <c r="CI15" s="239"/>
      <c r="CJ15" s="239"/>
      <c r="CK15" s="239"/>
      <c r="CL15" s="239"/>
      <c r="CM15" s="239"/>
      <c r="CN15" s="239"/>
      <c r="CO15" s="239"/>
      <c r="CP15" s="239"/>
      <c r="CQ15" s="239"/>
      <c r="CR15" s="239"/>
      <c r="CS15" s="239"/>
      <c r="CT15" s="239"/>
      <c r="CU15" s="239"/>
      <c r="CV15" s="239"/>
      <c r="CW15" s="239"/>
      <c r="CX15" s="239"/>
      <c r="CY15" s="239"/>
      <c r="CZ15" s="239"/>
      <c r="DA15" s="239"/>
      <c r="DB15" s="239"/>
      <c r="DC15" s="239"/>
      <c r="DD15" s="239"/>
      <c r="DE15" s="239"/>
      <c r="DF15" s="239"/>
      <c r="DG15" s="239"/>
      <c r="DH15" s="239"/>
      <c r="DI15" s="239"/>
      <c r="DJ15" s="239"/>
      <c r="DK15" s="239"/>
      <c r="DL15" s="239"/>
      <c r="DM15" s="239"/>
      <c r="DN15" s="239"/>
      <c r="DO15" s="239"/>
      <c r="DP15" s="239"/>
      <c r="DQ15" s="239"/>
      <c r="DR15" s="239"/>
      <c r="DS15" s="239"/>
      <c r="DT15" s="239"/>
      <c r="DU15" s="239"/>
      <c r="DV15" s="239"/>
      <c r="DW15" s="239"/>
      <c r="DX15" s="239"/>
      <c r="DY15" s="239"/>
      <c r="DZ15" s="239"/>
      <c r="EA15" s="239"/>
      <c r="EB15" s="239"/>
      <c r="EC15" s="239"/>
      <c r="ED15" s="239"/>
      <c r="EE15" s="239"/>
      <c r="EF15" s="239"/>
      <c r="EG15" s="239"/>
      <c r="EH15" s="239"/>
      <c r="EI15" s="239"/>
      <c r="EJ15" s="239"/>
      <c r="EK15" s="239"/>
      <c r="EL15" s="239"/>
      <c r="EM15" s="239"/>
      <c r="EN15" s="239"/>
      <c r="EO15" s="239"/>
      <c r="EP15" s="239"/>
      <c r="EQ15" s="239"/>
      <c r="ER15" s="239"/>
      <c r="ES15" s="239"/>
      <c r="ET15" s="239"/>
      <c r="EU15" s="239"/>
      <c r="EV15" s="239"/>
      <c r="EW15" s="239"/>
      <c r="EX15" s="239"/>
      <c r="EY15" s="239"/>
      <c r="EZ15" s="239"/>
      <c r="FA15" s="239"/>
      <c r="FB15" s="239"/>
      <c r="FC15" s="239"/>
      <c r="FD15" s="239"/>
      <c r="FE15" s="239"/>
      <c r="FF15" s="239"/>
      <c r="FG15" s="239"/>
      <c r="FH15" s="239"/>
      <c r="FI15" s="239"/>
      <c r="FJ15" s="239"/>
      <c r="FK15" s="239"/>
      <c r="FL15" s="239"/>
      <c r="FM15" s="239"/>
      <c r="FN15" s="239"/>
      <c r="FO15" s="239"/>
      <c r="FP15" s="239"/>
      <c r="FQ15" s="239"/>
      <c r="FR15" s="239"/>
      <c r="FS15" s="239"/>
      <c r="FT15" s="239"/>
      <c r="FU15" s="239"/>
      <c r="FV15" s="239"/>
      <c r="FW15" s="239"/>
      <c r="FX15" s="239"/>
      <c r="FY15" s="239"/>
      <c r="FZ15" s="239"/>
      <c r="GA15" s="239"/>
      <c r="GB15" s="239"/>
      <c r="GC15" s="239"/>
      <c r="GD15" s="239"/>
      <c r="GE15" s="239"/>
      <c r="GF15" s="239"/>
      <c r="GG15" s="239"/>
      <c r="GH15" s="239"/>
      <c r="GI15" s="239"/>
      <c r="GJ15" s="239"/>
      <c r="GK15" s="239"/>
      <c r="GL15" s="239"/>
      <c r="GM15" s="239"/>
      <c r="GN15" s="239"/>
      <c r="GO15" s="239"/>
      <c r="GP15" s="239"/>
      <c r="GQ15" s="239"/>
      <c r="GR15" s="239"/>
      <c r="GS15" s="239"/>
      <c r="GT15" s="239"/>
      <c r="GU15" s="239"/>
      <c r="GV15" s="239"/>
      <c r="GW15" s="239"/>
      <c r="GX15" s="239"/>
      <c r="GY15" s="239"/>
      <c r="GZ15" s="239"/>
      <c r="HA15" s="239"/>
      <c r="HB15" s="239"/>
      <c r="HC15" s="239"/>
      <c r="HD15" s="239"/>
      <c r="HE15" s="239"/>
      <c r="HF15" s="239"/>
      <c r="HG15" s="239"/>
      <c r="HH15" s="239"/>
      <c r="HI15" s="239"/>
      <c r="HJ15" s="239"/>
      <c r="HK15" s="239"/>
      <c r="HL15" s="239"/>
      <c r="HM15" s="239"/>
      <c r="HN15" s="239"/>
      <c r="HO15" s="239"/>
      <c r="HP15" s="239"/>
      <c r="HQ15" s="239"/>
      <c r="HR15" s="239"/>
      <c r="HS15" s="239"/>
      <c r="HT15" s="239"/>
      <c r="HU15" s="239"/>
      <c r="HV15" s="239"/>
      <c r="HW15" s="239"/>
      <c r="HX15" s="239"/>
      <c r="HY15" s="239"/>
      <c r="HZ15" s="239"/>
      <c r="IA15" s="239"/>
      <c r="IB15" s="239"/>
      <c r="IC15" s="239"/>
      <c r="ID15" s="239"/>
      <c r="IE15" s="239"/>
      <c r="IF15" s="239"/>
      <c r="IG15" s="239"/>
      <c r="IH15" s="239"/>
      <c r="II15" s="239"/>
      <c r="IJ15" s="239"/>
      <c r="IK15" s="239"/>
      <c r="IL15" s="239"/>
      <c r="IM15" s="239"/>
      <c r="IN15" s="239"/>
      <c r="IO15" s="239"/>
      <c r="IP15" s="239"/>
      <c r="IQ15" s="239"/>
      <c r="IR15" s="239"/>
      <c r="IS15" s="239"/>
      <c r="IT15" s="239"/>
      <c r="IU15" s="239"/>
      <c r="IV15" s="239"/>
      <c r="IW15" s="239"/>
      <c r="IX15" s="239"/>
      <c r="IY15" s="239"/>
      <c r="IZ15" s="239"/>
      <c r="JA15" s="239"/>
      <c r="JB15" s="239"/>
      <c r="JC15" s="239"/>
      <c r="JD15" s="239"/>
      <c r="JE15" s="239"/>
      <c r="JF15" s="239"/>
      <c r="JG15" s="239"/>
      <c r="JH15" s="239"/>
      <c r="JI15" s="239"/>
      <c r="JJ15" s="239"/>
      <c r="JK15" s="239"/>
      <c r="JL15" s="239"/>
      <c r="JM15" s="239"/>
      <c r="JN15" s="239"/>
      <c r="JO15" s="239"/>
      <c r="JP15" s="239"/>
      <c r="JQ15" s="239"/>
      <c r="JR15" s="239"/>
      <c r="JS15" s="239"/>
      <c r="JT15" s="239"/>
      <c r="JU15" s="239"/>
      <c r="JV15" s="239"/>
      <c r="JW15" s="239"/>
      <c r="JX15" s="239"/>
      <c r="JY15" s="239"/>
      <c r="JZ15" s="239"/>
      <c r="KA15" s="239"/>
      <c r="KB15" s="239"/>
      <c r="KC15" s="239"/>
      <c r="KD15" s="239"/>
      <c r="KE15" s="239"/>
      <c r="KF15" s="239"/>
      <c r="KG15" s="239"/>
      <c r="KH15" s="239"/>
      <c r="KI15" s="239"/>
      <c r="KJ15" s="239"/>
      <c r="KK15" s="76"/>
      <c r="KL15"/>
      <c r="KM15"/>
      <c r="KN15"/>
      <c r="KO15"/>
      <c r="KP15"/>
      <c r="KQ15"/>
      <c r="KR15"/>
      <c r="KS15"/>
      <c r="KT15"/>
    </row>
    <row r="16" spans="1:306" s="181" customFormat="1" ht="18" customHeight="1">
      <c r="A16" s="153" t="s">
        <v>167</v>
      </c>
      <c r="B16" s="153">
        <v>8</v>
      </c>
      <c r="C16" s="153"/>
      <c r="D16" s="153"/>
      <c r="E16" s="153"/>
      <c r="F16" s="153"/>
      <c r="G16" s="153">
        <v>1</v>
      </c>
      <c r="H16" s="219"/>
      <c r="I16" s="220" t="s">
        <v>169</v>
      </c>
      <c r="J16" s="221" t="s">
        <v>303</v>
      </c>
      <c r="K16" s="222" t="s">
        <v>302</v>
      </c>
      <c r="L16" s="223" t="s">
        <v>168</v>
      </c>
      <c r="M16" s="224" t="s">
        <v>56</v>
      </c>
      <c r="N16" s="225"/>
      <c r="O16" s="226"/>
      <c r="P16" s="227"/>
      <c r="Q16" s="227"/>
      <c r="R16" s="228"/>
      <c r="S16" s="227">
        <v>44673.375</v>
      </c>
      <c r="T16" s="227">
        <v>44673.458333333336</v>
      </c>
      <c r="U16" s="229">
        <v>2</v>
      </c>
      <c r="V16" s="225"/>
      <c r="W16" s="230">
        <v>100</v>
      </c>
      <c r="X16" s="231">
        <v>1</v>
      </c>
      <c r="Y16" s="227"/>
      <c r="Z16" s="227"/>
      <c r="AA16" s="228"/>
      <c r="AB16" s="226"/>
      <c r="AC16" s="226"/>
      <c r="AD16" s="226"/>
      <c r="AE16" s="232"/>
      <c r="AF16" s="225"/>
      <c r="AG16" s="225"/>
      <c r="AH16" s="225"/>
      <c r="AI16" s="225"/>
      <c r="AJ16" s="225"/>
      <c r="AK16" s="225"/>
      <c r="AL16" s="225"/>
      <c r="AM16" s="225"/>
      <c r="AN16" s="225"/>
      <c r="AO16" s="225"/>
      <c r="AP16" s="225"/>
      <c r="AQ16" s="225"/>
      <c r="AR16" s="225"/>
      <c r="AS16" s="225"/>
      <c r="AT16" s="225"/>
      <c r="AU16" s="225"/>
      <c r="AV16" s="225"/>
      <c r="AW16" s="225"/>
      <c r="AX16" s="225"/>
      <c r="AY16" s="225"/>
      <c r="AZ16" s="225"/>
      <c r="BA16" s="225"/>
      <c r="BB16" s="225"/>
      <c r="BC16" s="225"/>
      <c r="BD16" s="233"/>
      <c r="BE16" s="234"/>
      <c r="BF16" s="234"/>
      <c r="BG16" s="234"/>
      <c r="BH16" s="234"/>
      <c r="BI16" s="234"/>
      <c r="BJ16" s="234"/>
      <c r="BK16" s="234"/>
      <c r="BL16" s="234"/>
      <c r="BM16" s="234"/>
      <c r="BN16" s="234"/>
      <c r="BO16" s="234"/>
      <c r="BP16" s="234"/>
      <c r="BQ16" s="234"/>
      <c r="BR16" s="234"/>
      <c r="BS16" s="234"/>
      <c r="BT16" s="234"/>
      <c r="BU16" s="234"/>
      <c r="BV16" s="234"/>
      <c r="BW16" s="234"/>
      <c r="BX16" s="234"/>
      <c r="BY16" s="234"/>
      <c r="BZ16" s="234"/>
      <c r="CA16" s="234"/>
      <c r="CB16" s="234"/>
      <c r="CC16" s="234"/>
      <c r="CD16" s="234"/>
      <c r="CE16" s="234"/>
      <c r="CF16" s="234"/>
      <c r="CG16" s="234"/>
      <c r="CH16" s="234"/>
      <c r="CI16" s="234"/>
      <c r="CJ16" s="234"/>
      <c r="CK16" s="234"/>
      <c r="CL16" s="234"/>
      <c r="CM16" s="234"/>
      <c r="CN16" s="234"/>
      <c r="CO16" s="234"/>
      <c r="CP16" s="234"/>
      <c r="CQ16" s="234"/>
      <c r="CR16" s="234"/>
      <c r="CS16" s="234"/>
      <c r="CT16" s="234"/>
      <c r="CU16" s="234"/>
      <c r="CV16" s="234"/>
      <c r="CW16" s="234"/>
      <c r="CX16" s="234"/>
      <c r="CY16" s="234"/>
      <c r="CZ16" s="234"/>
      <c r="DA16" s="234"/>
      <c r="DB16" s="234"/>
      <c r="DC16" s="234"/>
      <c r="DD16" s="234"/>
      <c r="DE16" s="234"/>
      <c r="DF16" s="234"/>
      <c r="DG16" s="234"/>
      <c r="DH16" s="234"/>
      <c r="DI16" s="234"/>
      <c r="DJ16" s="234"/>
      <c r="DK16" s="234"/>
      <c r="DL16" s="234"/>
      <c r="DM16" s="234"/>
      <c r="DN16" s="234"/>
      <c r="DO16" s="234"/>
      <c r="DP16" s="234"/>
      <c r="DQ16" s="234"/>
      <c r="DR16" s="234"/>
      <c r="DS16" s="234"/>
      <c r="DT16" s="234"/>
      <c r="DU16" s="234"/>
      <c r="DV16" s="234"/>
      <c r="DW16" s="234"/>
      <c r="DX16" s="234"/>
      <c r="DY16" s="234"/>
      <c r="DZ16" s="234"/>
      <c r="EA16" s="234"/>
      <c r="EB16" s="234"/>
      <c r="EC16" s="234"/>
      <c r="ED16" s="234"/>
      <c r="EE16" s="234"/>
      <c r="EF16" s="234"/>
      <c r="EG16" s="234"/>
      <c r="EH16" s="234"/>
      <c r="EI16" s="234"/>
      <c r="EJ16" s="234"/>
      <c r="EK16" s="234"/>
      <c r="EL16" s="234"/>
      <c r="EM16" s="234"/>
      <c r="EN16" s="234"/>
      <c r="EO16" s="234"/>
      <c r="EP16" s="234"/>
      <c r="EQ16" s="234"/>
      <c r="ER16" s="234"/>
      <c r="ES16" s="234"/>
      <c r="ET16" s="234"/>
      <c r="EU16" s="234"/>
      <c r="EV16" s="234"/>
      <c r="EW16" s="234"/>
      <c r="EX16" s="234"/>
      <c r="EY16" s="234"/>
      <c r="EZ16" s="234"/>
      <c r="FA16" s="234"/>
      <c r="FB16" s="234"/>
      <c r="FC16" s="234"/>
      <c r="FD16" s="234"/>
      <c r="FE16" s="234"/>
      <c r="FF16" s="234"/>
      <c r="FG16" s="234"/>
      <c r="FH16" s="234"/>
      <c r="FI16" s="234"/>
      <c r="FJ16" s="234"/>
      <c r="FK16" s="234"/>
      <c r="FL16" s="234"/>
      <c r="FM16" s="234"/>
      <c r="FN16" s="234"/>
      <c r="FO16" s="234"/>
      <c r="FP16" s="234"/>
      <c r="FQ16" s="234"/>
      <c r="FR16" s="234"/>
      <c r="FS16" s="234"/>
      <c r="FT16" s="234"/>
      <c r="FU16" s="234"/>
      <c r="FV16" s="234"/>
      <c r="FW16" s="234"/>
      <c r="FX16" s="234"/>
      <c r="FY16" s="234"/>
      <c r="FZ16" s="234"/>
      <c r="GA16" s="234"/>
      <c r="GB16" s="234"/>
      <c r="GC16" s="234"/>
      <c r="GD16" s="234"/>
      <c r="GE16" s="234"/>
      <c r="GF16" s="234"/>
      <c r="GG16" s="234"/>
      <c r="GH16" s="234"/>
      <c r="GI16" s="234"/>
      <c r="GJ16" s="234"/>
      <c r="GK16" s="234"/>
      <c r="GL16" s="234"/>
      <c r="GM16" s="234"/>
      <c r="GN16" s="234"/>
      <c r="GO16" s="234"/>
      <c r="GP16" s="234"/>
      <c r="GQ16" s="234"/>
      <c r="GR16" s="234"/>
      <c r="GS16" s="234"/>
      <c r="GT16" s="234"/>
      <c r="GU16" s="234"/>
      <c r="GV16" s="234"/>
      <c r="GW16" s="234"/>
      <c r="GX16" s="234"/>
      <c r="GY16" s="234"/>
      <c r="GZ16" s="234"/>
      <c r="HA16" s="234"/>
      <c r="HB16" s="234"/>
      <c r="HC16" s="234"/>
      <c r="HD16" s="234"/>
      <c r="HE16" s="234"/>
      <c r="HF16" s="234"/>
      <c r="HG16" s="234"/>
      <c r="HH16" s="234"/>
      <c r="HI16" s="234"/>
      <c r="HJ16" s="234"/>
      <c r="HK16" s="234"/>
      <c r="HL16" s="234"/>
      <c r="HM16" s="234"/>
      <c r="HN16" s="234"/>
      <c r="HO16" s="234"/>
      <c r="HP16" s="234"/>
      <c r="HQ16" s="234"/>
      <c r="HR16" s="234"/>
      <c r="HS16" s="234"/>
      <c r="HT16" s="234"/>
      <c r="HU16" s="234"/>
      <c r="HV16" s="234"/>
      <c r="HW16" s="234"/>
      <c r="HX16" s="234"/>
      <c r="HY16" s="234"/>
      <c r="HZ16" s="234"/>
      <c r="IA16" s="234"/>
      <c r="IB16" s="234"/>
      <c r="IC16" s="234"/>
      <c r="ID16" s="234"/>
      <c r="IE16" s="234"/>
      <c r="IF16" s="234"/>
      <c r="IG16" s="234"/>
      <c r="IH16" s="234"/>
      <c r="II16" s="234"/>
      <c r="IJ16" s="234"/>
      <c r="IK16" s="234"/>
      <c r="IL16" s="234"/>
      <c r="IM16" s="234"/>
      <c r="IN16" s="234"/>
      <c r="IO16" s="234"/>
      <c r="IP16" s="234"/>
      <c r="IQ16" s="234"/>
      <c r="IR16" s="234"/>
      <c r="IS16" s="234"/>
      <c r="IT16" s="234"/>
      <c r="IU16" s="234"/>
      <c r="IV16" s="234"/>
      <c r="IW16" s="234"/>
      <c r="IX16" s="234"/>
      <c r="IY16" s="234"/>
      <c r="IZ16" s="234"/>
      <c r="JA16" s="234"/>
      <c r="JB16" s="234"/>
      <c r="JC16" s="234"/>
      <c r="JD16" s="234"/>
      <c r="JE16" s="234"/>
      <c r="JF16" s="234"/>
      <c r="JG16" s="234"/>
      <c r="JH16" s="234"/>
      <c r="JI16" s="234"/>
      <c r="JJ16" s="234"/>
      <c r="JK16" s="234"/>
      <c r="JL16" s="234"/>
      <c r="JM16" s="234"/>
      <c r="JN16" s="234"/>
      <c r="JO16" s="234"/>
      <c r="JP16" s="234"/>
      <c r="JQ16" s="234"/>
      <c r="JR16" s="234"/>
      <c r="JS16" s="234"/>
      <c r="JT16" s="234"/>
      <c r="JU16" s="234"/>
      <c r="JV16" s="234"/>
      <c r="JW16" s="234"/>
      <c r="JX16" s="234"/>
      <c r="JY16" s="234"/>
      <c r="JZ16" s="234"/>
      <c r="KA16" s="234"/>
      <c r="KB16" s="234"/>
      <c r="KC16" s="234"/>
      <c r="KD16" s="234"/>
      <c r="KE16" s="234"/>
      <c r="KF16" s="234"/>
      <c r="KG16" s="234"/>
      <c r="KH16" s="234"/>
      <c r="KI16" s="234"/>
      <c r="KJ16" s="234"/>
      <c r="KK16" s="76"/>
      <c r="KL16"/>
      <c r="KM16"/>
      <c r="KN16"/>
      <c r="KO16"/>
      <c r="KP16"/>
      <c r="KQ16"/>
      <c r="KR16"/>
      <c r="KS16"/>
      <c r="KT16"/>
    </row>
    <row r="17" spans="1:306" s="181" customFormat="1" ht="18" customHeight="1">
      <c r="A17" s="153" t="s">
        <v>167</v>
      </c>
      <c r="B17" s="153">
        <v>9</v>
      </c>
      <c r="C17" s="153"/>
      <c r="D17" s="153"/>
      <c r="E17" s="153"/>
      <c r="F17" s="153"/>
      <c r="G17" s="153">
        <v>0</v>
      </c>
      <c r="H17" s="187"/>
      <c r="I17" s="190" t="s">
        <v>169</v>
      </c>
      <c r="J17" s="205" t="s">
        <v>290</v>
      </c>
      <c r="K17" s="217" t="s">
        <v>304</v>
      </c>
      <c r="L17" s="172" t="s">
        <v>168</v>
      </c>
      <c r="M17" s="207" t="s">
        <v>56</v>
      </c>
      <c r="N17" s="206"/>
      <c r="O17" s="208"/>
      <c r="P17" s="209"/>
      <c r="Q17" s="209"/>
      <c r="R17" s="210"/>
      <c r="S17" s="209">
        <v>44676.375</v>
      </c>
      <c r="T17" s="209">
        <v>44687.75</v>
      </c>
      <c r="U17" s="218">
        <v>71</v>
      </c>
      <c r="V17" s="206"/>
      <c r="W17" s="177">
        <v>100</v>
      </c>
      <c r="X17" s="211">
        <v>1</v>
      </c>
      <c r="Y17" s="209"/>
      <c r="Z17" s="209"/>
      <c r="AA17" s="210"/>
      <c r="AB17" s="208"/>
      <c r="AC17" s="208"/>
      <c r="AD17" s="208"/>
      <c r="AE17" s="212"/>
      <c r="AF17" s="171"/>
      <c r="AG17" s="171"/>
      <c r="AH17" s="171"/>
      <c r="AI17" s="171"/>
      <c r="AJ17" s="171"/>
      <c r="AK17" s="171"/>
      <c r="AL17" s="171"/>
      <c r="AM17" s="171"/>
      <c r="AN17" s="171"/>
      <c r="AO17" s="171"/>
      <c r="AP17" s="171"/>
      <c r="AQ17" s="171"/>
      <c r="AR17" s="171"/>
      <c r="AS17" s="171"/>
      <c r="AT17" s="171"/>
      <c r="AU17" s="171"/>
      <c r="AV17" s="171"/>
      <c r="AW17" s="171"/>
      <c r="AX17" s="171"/>
      <c r="AY17" s="171"/>
      <c r="AZ17" s="171"/>
      <c r="BA17" s="171"/>
      <c r="BB17" s="171"/>
      <c r="BC17" s="171"/>
      <c r="BD17" s="180"/>
      <c r="BE17" s="188"/>
      <c r="BF17" s="188"/>
      <c r="BG17" s="188"/>
      <c r="BH17" s="188"/>
      <c r="BI17" s="188"/>
      <c r="BJ17" s="188"/>
      <c r="BK17" s="188"/>
      <c r="BL17" s="188"/>
      <c r="BM17" s="188"/>
      <c r="BN17" s="188"/>
      <c r="BO17" s="188"/>
      <c r="BP17" s="188"/>
      <c r="BQ17" s="188"/>
      <c r="BR17" s="188"/>
      <c r="BS17" s="188"/>
      <c r="BT17" s="188"/>
      <c r="BU17" s="188"/>
      <c r="BV17" s="188"/>
      <c r="BW17" s="188"/>
      <c r="BX17" s="188"/>
      <c r="BY17" s="188"/>
      <c r="BZ17" s="188"/>
      <c r="CA17" s="188"/>
      <c r="CB17" s="188"/>
      <c r="CC17" s="188"/>
      <c r="CD17" s="188"/>
      <c r="CE17" s="188"/>
      <c r="CF17" s="188"/>
      <c r="CG17" s="188"/>
      <c r="CH17" s="188"/>
      <c r="CI17" s="188"/>
      <c r="CJ17" s="188"/>
      <c r="CK17" s="188"/>
      <c r="CL17" s="188"/>
      <c r="CM17" s="188"/>
      <c r="CN17" s="188"/>
      <c r="CO17" s="188"/>
      <c r="CP17" s="188"/>
      <c r="CQ17" s="188"/>
      <c r="CR17" s="188"/>
      <c r="CS17" s="188"/>
      <c r="CT17" s="188"/>
      <c r="CU17" s="188"/>
      <c r="CV17" s="188"/>
      <c r="CW17" s="188"/>
      <c r="CX17" s="188"/>
      <c r="CY17" s="188"/>
      <c r="CZ17" s="188"/>
      <c r="DA17" s="188"/>
      <c r="DB17" s="188"/>
      <c r="DC17" s="188"/>
      <c r="DD17" s="188"/>
      <c r="DE17" s="188"/>
      <c r="DF17" s="188"/>
      <c r="DG17" s="188"/>
      <c r="DH17" s="188"/>
      <c r="DI17" s="188"/>
      <c r="DJ17" s="188"/>
      <c r="DK17" s="188"/>
      <c r="DL17" s="188"/>
      <c r="DM17" s="188"/>
      <c r="DN17" s="188"/>
      <c r="DO17" s="188"/>
      <c r="DP17" s="188"/>
      <c r="DQ17" s="188"/>
      <c r="DR17" s="188"/>
      <c r="DS17" s="188"/>
      <c r="DT17" s="188"/>
      <c r="DU17" s="188"/>
      <c r="DV17" s="188"/>
      <c r="DW17" s="188"/>
      <c r="DX17" s="188"/>
      <c r="DY17" s="188"/>
      <c r="DZ17" s="188"/>
      <c r="EA17" s="188"/>
      <c r="EB17" s="188"/>
      <c r="EC17" s="188"/>
      <c r="ED17" s="188"/>
      <c r="EE17" s="188"/>
      <c r="EF17" s="188"/>
      <c r="EG17" s="188"/>
      <c r="EH17" s="188"/>
      <c r="EI17" s="188"/>
      <c r="EJ17" s="188"/>
      <c r="EK17" s="188"/>
      <c r="EL17" s="188"/>
      <c r="EM17" s="188"/>
      <c r="EN17" s="188"/>
      <c r="EO17" s="188"/>
      <c r="EP17" s="188"/>
      <c r="EQ17" s="188"/>
      <c r="ER17" s="188"/>
      <c r="ES17" s="188"/>
      <c r="ET17" s="188"/>
      <c r="EU17" s="188"/>
      <c r="EV17" s="188"/>
      <c r="EW17" s="188"/>
      <c r="EX17" s="188"/>
      <c r="EY17" s="188"/>
      <c r="EZ17" s="188"/>
      <c r="FA17" s="188"/>
      <c r="FB17" s="188"/>
      <c r="FC17" s="188"/>
      <c r="FD17" s="188"/>
      <c r="FE17" s="188"/>
      <c r="FF17" s="188"/>
      <c r="FG17" s="188"/>
      <c r="FH17" s="188"/>
      <c r="FI17" s="188"/>
      <c r="FJ17" s="188"/>
      <c r="FK17" s="188"/>
      <c r="FL17" s="188"/>
      <c r="FM17" s="188"/>
      <c r="FN17" s="188"/>
      <c r="FO17" s="188"/>
      <c r="FP17" s="188"/>
      <c r="FQ17" s="188"/>
      <c r="FR17" s="188"/>
      <c r="FS17" s="188"/>
      <c r="FT17" s="188"/>
      <c r="FU17" s="188"/>
      <c r="FV17" s="188"/>
      <c r="FW17" s="188"/>
      <c r="FX17" s="188"/>
      <c r="FY17" s="188"/>
      <c r="FZ17" s="188"/>
      <c r="GA17" s="188"/>
      <c r="GB17" s="188"/>
      <c r="GC17" s="188"/>
      <c r="GD17" s="188"/>
      <c r="GE17" s="188"/>
      <c r="GF17" s="188"/>
      <c r="GG17" s="188"/>
      <c r="GH17" s="188"/>
      <c r="GI17" s="188"/>
      <c r="GJ17" s="188"/>
      <c r="GK17" s="188"/>
      <c r="GL17" s="188"/>
      <c r="GM17" s="188"/>
      <c r="GN17" s="188"/>
      <c r="GO17" s="188"/>
      <c r="GP17" s="188"/>
      <c r="GQ17" s="188"/>
      <c r="GR17" s="188"/>
      <c r="GS17" s="188"/>
      <c r="GT17" s="188"/>
      <c r="GU17" s="188"/>
      <c r="GV17" s="188"/>
      <c r="GW17" s="188"/>
      <c r="GX17" s="188"/>
      <c r="GY17" s="188"/>
      <c r="GZ17" s="188"/>
      <c r="HA17" s="188"/>
      <c r="HB17" s="188"/>
      <c r="HC17" s="188"/>
      <c r="HD17" s="188"/>
      <c r="HE17" s="188"/>
      <c r="HF17" s="188"/>
      <c r="HG17" s="188"/>
      <c r="HH17" s="188"/>
      <c r="HI17" s="188"/>
      <c r="HJ17" s="188"/>
      <c r="HK17" s="188"/>
      <c r="HL17" s="188"/>
      <c r="HM17" s="188"/>
      <c r="HN17" s="188"/>
      <c r="HO17" s="188"/>
      <c r="HP17" s="188"/>
      <c r="HQ17" s="188"/>
      <c r="HR17" s="188"/>
      <c r="HS17" s="188"/>
      <c r="HT17" s="188"/>
      <c r="HU17" s="188"/>
      <c r="HV17" s="188"/>
      <c r="HW17" s="188"/>
      <c r="HX17" s="188"/>
      <c r="HY17" s="188"/>
      <c r="HZ17" s="188"/>
      <c r="IA17" s="188"/>
      <c r="IB17" s="188"/>
      <c r="IC17" s="188"/>
      <c r="ID17" s="188"/>
      <c r="IE17" s="188"/>
      <c r="IF17" s="188"/>
      <c r="IG17" s="188"/>
      <c r="IH17" s="188"/>
      <c r="II17" s="188"/>
      <c r="IJ17" s="188"/>
      <c r="IK17" s="188"/>
      <c r="IL17" s="188"/>
      <c r="IM17" s="188"/>
      <c r="IN17" s="188"/>
      <c r="IO17" s="188"/>
      <c r="IP17" s="188"/>
      <c r="IQ17" s="188"/>
      <c r="IR17" s="188"/>
      <c r="IS17" s="188"/>
      <c r="IT17" s="188"/>
      <c r="IU17" s="188"/>
      <c r="IV17" s="188"/>
      <c r="IW17" s="188"/>
      <c r="IX17" s="188"/>
      <c r="IY17" s="188"/>
      <c r="IZ17" s="188"/>
      <c r="JA17" s="188"/>
      <c r="JB17" s="188"/>
      <c r="JC17" s="188"/>
      <c r="JD17" s="188"/>
      <c r="JE17" s="188"/>
      <c r="JF17" s="188"/>
      <c r="JG17" s="188"/>
      <c r="JH17" s="188"/>
      <c r="JI17" s="188"/>
      <c r="JJ17" s="188"/>
      <c r="JK17" s="188"/>
      <c r="JL17" s="188"/>
      <c r="JM17" s="188"/>
      <c r="JN17" s="188"/>
      <c r="JO17" s="188"/>
      <c r="JP17" s="188"/>
      <c r="JQ17" s="188"/>
      <c r="JR17" s="188"/>
      <c r="JS17" s="188"/>
      <c r="JT17" s="188"/>
      <c r="JU17" s="188"/>
      <c r="JV17" s="188"/>
      <c r="JW17" s="188"/>
      <c r="JX17" s="188"/>
      <c r="JY17" s="188"/>
      <c r="JZ17" s="188"/>
      <c r="KA17" s="188"/>
      <c r="KB17" s="188"/>
      <c r="KC17" s="188"/>
      <c r="KD17" s="188"/>
      <c r="KE17" s="188"/>
      <c r="KF17" s="188"/>
      <c r="KG17" s="188"/>
      <c r="KH17" s="188"/>
      <c r="KI17" s="188"/>
      <c r="KJ17" s="188"/>
      <c r="KK17" s="76"/>
      <c r="KL17"/>
      <c r="KM17"/>
      <c r="KN17"/>
      <c r="KO17"/>
      <c r="KP17"/>
      <c r="KQ17"/>
      <c r="KR17"/>
      <c r="KS17"/>
      <c r="KT17"/>
    </row>
    <row r="18" spans="1:306" s="181" customFormat="1" ht="18" customHeight="1">
      <c r="A18" s="153" t="s">
        <v>167</v>
      </c>
      <c r="B18" s="153">
        <v>10</v>
      </c>
      <c r="C18" s="153"/>
      <c r="D18" s="153"/>
      <c r="E18" s="153"/>
      <c r="F18" s="153"/>
      <c r="G18" s="153">
        <v>1</v>
      </c>
      <c r="H18" s="219"/>
      <c r="I18" s="220" t="s">
        <v>169</v>
      </c>
      <c r="J18" s="221" t="s">
        <v>306</v>
      </c>
      <c r="K18" s="222" t="s">
        <v>305</v>
      </c>
      <c r="L18" s="223" t="s">
        <v>168</v>
      </c>
      <c r="M18" s="224" t="s">
        <v>56</v>
      </c>
      <c r="N18" s="225"/>
      <c r="O18" s="226"/>
      <c r="P18" s="227"/>
      <c r="Q18" s="227"/>
      <c r="R18" s="228"/>
      <c r="S18" s="227">
        <v>44676.375</v>
      </c>
      <c r="T18" s="227">
        <v>44677.416666666664</v>
      </c>
      <c r="U18" s="229">
        <v>10</v>
      </c>
      <c r="V18" s="225"/>
      <c r="W18" s="230">
        <v>100</v>
      </c>
      <c r="X18" s="231">
        <v>1</v>
      </c>
      <c r="Y18" s="227"/>
      <c r="Z18" s="227"/>
      <c r="AA18" s="228"/>
      <c r="AB18" s="226"/>
      <c r="AC18" s="226"/>
      <c r="AD18" s="226"/>
      <c r="AE18" s="232"/>
      <c r="AF18" s="225"/>
      <c r="AG18" s="225"/>
      <c r="AH18" s="225"/>
      <c r="AI18" s="225"/>
      <c r="AJ18" s="225"/>
      <c r="AK18" s="225"/>
      <c r="AL18" s="225"/>
      <c r="AM18" s="225"/>
      <c r="AN18" s="225"/>
      <c r="AO18" s="225"/>
      <c r="AP18" s="225"/>
      <c r="AQ18" s="225"/>
      <c r="AR18" s="225"/>
      <c r="AS18" s="225"/>
      <c r="AT18" s="225"/>
      <c r="AU18" s="225"/>
      <c r="AV18" s="225"/>
      <c r="AW18" s="225"/>
      <c r="AX18" s="225"/>
      <c r="AY18" s="225"/>
      <c r="AZ18" s="225"/>
      <c r="BA18" s="225"/>
      <c r="BB18" s="225"/>
      <c r="BC18" s="225"/>
      <c r="BD18" s="233"/>
      <c r="BE18" s="234"/>
      <c r="BF18" s="234"/>
      <c r="BG18" s="234"/>
      <c r="BH18" s="234"/>
      <c r="BI18" s="234"/>
      <c r="BJ18" s="234"/>
      <c r="BK18" s="234"/>
      <c r="BL18" s="234"/>
      <c r="BM18" s="234"/>
      <c r="BN18" s="234"/>
      <c r="BO18" s="234"/>
      <c r="BP18" s="234"/>
      <c r="BQ18" s="234"/>
      <c r="BR18" s="234"/>
      <c r="BS18" s="234"/>
      <c r="BT18" s="234"/>
      <c r="BU18" s="234"/>
      <c r="BV18" s="234"/>
      <c r="BW18" s="234"/>
      <c r="BX18" s="234"/>
      <c r="BY18" s="234"/>
      <c r="BZ18" s="234"/>
      <c r="CA18" s="234"/>
      <c r="CB18" s="234"/>
      <c r="CC18" s="234"/>
      <c r="CD18" s="234"/>
      <c r="CE18" s="234"/>
      <c r="CF18" s="234"/>
      <c r="CG18" s="234"/>
      <c r="CH18" s="234"/>
      <c r="CI18" s="234"/>
      <c r="CJ18" s="234"/>
      <c r="CK18" s="234"/>
      <c r="CL18" s="234"/>
      <c r="CM18" s="234"/>
      <c r="CN18" s="234"/>
      <c r="CO18" s="234"/>
      <c r="CP18" s="234"/>
      <c r="CQ18" s="234"/>
      <c r="CR18" s="234"/>
      <c r="CS18" s="234"/>
      <c r="CT18" s="234"/>
      <c r="CU18" s="234"/>
      <c r="CV18" s="234"/>
      <c r="CW18" s="234"/>
      <c r="CX18" s="234"/>
      <c r="CY18" s="234"/>
      <c r="CZ18" s="234"/>
      <c r="DA18" s="234"/>
      <c r="DB18" s="234"/>
      <c r="DC18" s="234"/>
      <c r="DD18" s="234"/>
      <c r="DE18" s="234"/>
      <c r="DF18" s="234"/>
      <c r="DG18" s="234"/>
      <c r="DH18" s="234"/>
      <c r="DI18" s="234"/>
      <c r="DJ18" s="234"/>
      <c r="DK18" s="234"/>
      <c r="DL18" s="234"/>
      <c r="DM18" s="234"/>
      <c r="DN18" s="234"/>
      <c r="DO18" s="234"/>
      <c r="DP18" s="234"/>
      <c r="DQ18" s="234"/>
      <c r="DR18" s="234"/>
      <c r="DS18" s="234"/>
      <c r="DT18" s="234"/>
      <c r="DU18" s="234"/>
      <c r="DV18" s="234"/>
      <c r="DW18" s="234"/>
      <c r="DX18" s="234"/>
      <c r="DY18" s="234"/>
      <c r="DZ18" s="234"/>
      <c r="EA18" s="234"/>
      <c r="EB18" s="234"/>
      <c r="EC18" s="234"/>
      <c r="ED18" s="234"/>
      <c r="EE18" s="234"/>
      <c r="EF18" s="234"/>
      <c r="EG18" s="234"/>
      <c r="EH18" s="234"/>
      <c r="EI18" s="234"/>
      <c r="EJ18" s="234"/>
      <c r="EK18" s="234"/>
      <c r="EL18" s="234"/>
      <c r="EM18" s="234"/>
      <c r="EN18" s="234"/>
      <c r="EO18" s="234"/>
      <c r="EP18" s="234"/>
      <c r="EQ18" s="234"/>
      <c r="ER18" s="234"/>
      <c r="ES18" s="234"/>
      <c r="ET18" s="234"/>
      <c r="EU18" s="234"/>
      <c r="EV18" s="234"/>
      <c r="EW18" s="234"/>
      <c r="EX18" s="234"/>
      <c r="EY18" s="234"/>
      <c r="EZ18" s="234"/>
      <c r="FA18" s="234"/>
      <c r="FB18" s="234"/>
      <c r="FC18" s="234"/>
      <c r="FD18" s="234"/>
      <c r="FE18" s="234"/>
      <c r="FF18" s="234"/>
      <c r="FG18" s="234"/>
      <c r="FH18" s="234"/>
      <c r="FI18" s="234"/>
      <c r="FJ18" s="234"/>
      <c r="FK18" s="234"/>
      <c r="FL18" s="234"/>
      <c r="FM18" s="234"/>
      <c r="FN18" s="234"/>
      <c r="FO18" s="234"/>
      <c r="FP18" s="234"/>
      <c r="FQ18" s="234"/>
      <c r="FR18" s="234"/>
      <c r="FS18" s="234"/>
      <c r="FT18" s="234"/>
      <c r="FU18" s="234"/>
      <c r="FV18" s="234"/>
      <c r="FW18" s="234"/>
      <c r="FX18" s="234"/>
      <c r="FY18" s="234"/>
      <c r="FZ18" s="234"/>
      <c r="GA18" s="234"/>
      <c r="GB18" s="234"/>
      <c r="GC18" s="234"/>
      <c r="GD18" s="234"/>
      <c r="GE18" s="234"/>
      <c r="GF18" s="234"/>
      <c r="GG18" s="234"/>
      <c r="GH18" s="234"/>
      <c r="GI18" s="234"/>
      <c r="GJ18" s="234"/>
      <c r="GK18" s="234"/>
      <c r="GL18" s="234"/>
      <c r="GM18" s="234"/>
      <c r="GN18" s="234"/>
      <c r="GO18" s="234"/>
      <c r="GP18" s="234"/>
      <c r="GQ18" s="234"/>
      <c r="GR18" s="234"/>
      <c r="GS18" s="234"/>
      <c r="GT18" s="234"/>
      <c r="GU18" s="234"/>
      <c r="GV18" s="234"/>
      <c r="GW18" s="234"/>
      <c r="GX18" s="234"/>
      <c r="GY18" s="234"/>
      <c r="GZ18" s="234"/>
      <c r="HA18" s="234"/>
      <c r="HB18" s="234"/>
      <c r="HC18" s="234"/>
      <c r="HD18" s="234"/>
      <c r="HE18" s="234"/>
      <c r="HF18" s="234"/>
      <c r="HG18" s="234"/>
      <c r="HH18" s="234"/>
      <c r="HI18" s="234"/>
      <c r="HJ18" s="234"/>
      <c r="HK18" s="234"/>
      <c r="HL18" s="234"/>
      <c r="HM18" s="234"/>
      <c r="HN18" s="234"/>
      <c r="HO18" s="234"/>
      <c r="HP18" s="234"/>
      <c r="HQ18" s="234"/>
      <c r="HR18" s="234"/>
      <c r="HS18" s="234"/>
      <c r="HT18" s="234"/>
      <c r="HU18" s="234"/>
      <c r="HV18" s="234"/>
      <c r="HW18" s="234"/>
      <c r="HX18" s="234"/>
      <c r="HY18" s="234"/>
      <c r="HZ18" s="234"/>
      <c r="IA18" s="234"/>
      <c r="IB18" s="234"/>
      <c r="IC18" s="234"/>
      <c r="ID18" s="234"/>
      <c r="IE18" s="234"/>
      <c r="IF18" s="234"/>
      <c r="IG18" s="234"/>
      <c r="IH18" s="234"/>
      <c r="II18" s="234"/>
      <c r="IJ18" s="234"/>
      <c r="IK18" s="234"/>
      <c r="IL18" s="234"/>
      <c r="IM18" s="234"/>
      <c r="IN18" s="234"/>
      <c r="IO18" s="234"/>
      <c r="IP18" s="234"/>
      <c r="IQ18" s="234"/>
      <c r="IR18" s="234"/>
      <c r="IS18" s="234"/>
      <c r="IT18" s="234"/>
      <c r="IU18" s="234"/>
      <c r="IV18" s="234"/>
      <c r="IW18" s="234"/>
      <c r="IX18" s="234"/>
      <c r="IY18" s="234"/>
      <c r="IZ18" s="234"/>
      <c r="JA18" s="234"/>
      <c r="JB18" s="234"/>
      <c r="JC18" s="234"/>
      <c r="JD18" s="234"/>
      <c r="JE18" s="234"/>
      <c r="JF18" s="234"/>
      <c r="JG18" s="234"/>
      <c r="JH18" s="234"/>
      <c r="JI18" s="234"/>
      <c r="JJ18" s="234"/>
      <c r="JK18" s="234"/>
      <c r="JL18" s="234"/>
      <c r="JM18" s="234"/>
      <c r="JN18" s="234"/>
      <c r="JO18" s="234"/>
      <c r="JP18" s="234"/>
      <c r="JQ18" s="234"/>
      <c r="JR18" s="234"/>
      <c r="JS18" s="234"/>
      <c r="JT18" s="234"/>
      <c r="JU18" s="234"/>
      <c r="JV18" s="234"/>
      <c r="JW18" s="234"/>
      <c r="JX18" s="234"/>
      <c r="JY18" s="234"/>
      <c r="JZ18" s="234"/>
      <c r="KA18" s="234"/>
      <c r="KB18" s="234"/>
      <c r="KC18" s="234"/>
      <c r="KD18" s="234"/>
      <c r="KE18" s="234"/>
      <c r="KF18" s="234"/>
      <c r="KG18" s="234"/>
      <c r="KH18" s="234"/>
      <c r="KI18" s="234"/>
      <c r="KJ18" s="234"/>
      <c r="KK18" s="149"/>
      <c r="KL18"/>
      <c r="KM18"/>
      <c r="KN18"/>
      <c r="KO18"/>
      <c r="KP18"/>
      <c r="KQ18"/>
      <c r="KR18"/>
      <c r="KS18"/>
      <c r="KT18"/>
    </row>
    <row r="19" spans="1:306" s="181" customFormat="1" ht="18" customHeight="1">
      <c r="A19" s="153" t="s">
        <v>167</v>
      </c>
      <c r="B19" s="153">
        <v>11</v>
      </c>
      <c r="C19" s="153"/>
      <c r="D19" s="153"/>
      <c r="E19" s="153"/>
      <c r="F19" s="153"/>
      <c r="G19" s="153">
        <v>1</v>
      </c>
      <c r="H19" s="187"/>
      <c r="I19" s="190" t="s">
        <v>169</v>
      </c>
      <c r="J19" s="170" t="s">
        <v>308</v>
      </c>
      <c r="K19" s="213" t="s">
        <v>307</v>
      </c>
      <c r="L19" s="172" t="s">
        <v>168</v>
      </c>
      <c r="M19" s="173" t="s">
        <v>56</v>
      </c>
      <c r="N19" s="171"/>
      <c r="O19" s="174"/>
      <c r="P19" s="175"/>
      <c r="Q19" s="175"/>
      <c r="R19" s="176"/>
      <c r="S19" s="175">
        <v>44677.458333333336</v>
      </c>
      <c r="T19" s="175">
        <v>44679.541666666664</v>
      </c>
      <c r="U19" s="193">
        <v>20</v>
      </c>
      <c r="V19" s="171"/>
      <c r="W19" s="177">
        <v>100</v>
      </c>
      <c r="X19" s="178">
        <v>1</v>
      </c>
      <c r="Y19" s="175"/>
      <c r="Z19" s="175"/>
      <c r="AA19" s="176"/>
      <c r="AB19" s="174"/>
      <c r="AC19" s="174"/>
      <c r="AD19" s="174"/>
      <c r="AE19" s="179"/>
      <c r="AF19" s="171"/>
      <c r="AG19" s="171"/>
      <c r="AH19" s="171"/>
      <c r="AI19" s="171"/>
      <c r="AJ19" s="171"/>
      <c r="AK19" s="171"/>
      <c r="AL19" s="171"/>
      <c r="AM19" s="171"/>
      <c r="AN19" s="171"/>
      <c r="AO19" s="171"/>
      <c r="AP19" s="171"/>
      <c r="AQ19" s="171"/>
      <c r="AR19" s="171"/>
      <c r="AS19" s="171"/>
      <c r="AT19" s="171"/>
      <c r="AU19" s="171"/>
      <c r="AV19" s="171"/>
      <c r="AW19" s="171"/>
      <c r="AX19" s="171"/>
      <c r="AY19" s="171"/>
      <c r="AZ19" s="171"/>
      <c r="BA19" s="171"/>
      <c r="BB19" s="171"/>
      <c r="BC19" s="171"/>
      <c r="BD19" s="180"/>
      <c r="BE19" s="188"/>
      <c r="BF19" s="188"/>
      <c r="BG19" s="188"/>
      <c r="BH19" s="188"/>
      <c r="BI19" s="188"/>
      <c r="BJ19" s="188"/>
      <c r="BK19" s="188"/>
      <c r="BL19" s="188"/>
      <c r="BM19" s="188"/>
      <c r="BN19" s="188"/>
      <c r="BO19" s="188"/>
      <c r="BP19" s="188"/>
      <c r="BQ19" s="188"/>
      <c r="BR19" s="188"/>
      <c r="BS19" s="188"/>
      <c r="BT19" s="188"/>
      <c r="BU19" s="188"/>
      <c r="BV19" s="188"/>
      <c r="BW19" s="188"/>
      <c r="BX19" s="188"/>
      <c r="BY19" s="188"/>
      <c r="BZ19" s="188"/>
      <c r="CA19" s="188"/>
      <c r="CB19" s="188"/>
      <c r="CC19" s="188"/>
      <c r="CD19" s="188"/>
      <c r="CE19" s="188"/>
      <c r="CF19" s="188"/>
      <c r="CG19" s="188"/>
      <c r="CH19" s="188"/>
      <c r="CI19" s="188"/>
      <c r="CJ19" s="188"/>
      <c r="CK19" s="188"/>
      <c r="CL19" s="188"/>
      <c r="CM19" s="188"/>
      <c r="CN19" s="188"/>
      <c r="CO19" s="188"/>
      <c r="CP19" s="188"/>
      <c r="CQ19" s="188"/>
      <c r="CR19" s="188"/>
      <c r="CS19" s="188"/>
      <c r="CT19" s="188"/>
      <c r="CU19" s="188"/>
      <c r="CV19" s="188"/>
      <c r="CW19" s="188"/>
      <c r="CX19" s="188"/>
      <c r="CY19" s="188"/>
      <c r="CZ19" s="188"/>
      <c r="DA19" s="188"/>
      <c r="DB19" s="188"/>
      <c r="DC19" s="188"/>
      <c r="DD19" s="188"/>
      <c r="DE19" s="188"/>
      <c r="DF19" s="188"/>
      <c r="DG19" s="188"/>
      <c r="DH19" s="188"/>
      <c r="DI19" s="188"/>
      <c r="DJ19" s="188"/>
      <c r="DK19" s="188"/>
      <c r="DL19" s="188"/>
      <c r="DM19" s="188"/>
      <c r="DN19" s="188"/>
      <c r="DO19" s="188"/>
      <c r="DP19" s="188"/>
      <c r="DQ19" s="188"/>
      <c r="DR19" s="188"/>
      <c r="DS19" s="188"/>
      <c r="DT19" s="188"/>
      <c r="DU19" s="188"/>
      <c r="DV19" s="188"/>
      <c r="DW19" s="188"/>
      <c r="DX19" s="188"/>
      <c r="DY19" s="188"/>
      <c r="DZ19" s="188"/>
      <c r="EA19" s="188"/>
      <c r="EB19" s="188"/>
      <c r="EC19" s="188"/>
      <c r="ED19" s="188"/>
      <c r="EE19" s="188"/>
      <c r="EF19" s="188"/>
      <c r="EG19" s="188"/>
      <c r="EH19" s="188"/>
      <c r="EI19" s="188"/>
      <c r="EJ19" s="188"/>
      <c r="EK19" s="188"/>
      <c r="EL19" s="188"/>
      <c r="EM19" s="188"/>
      <c r="EN19" s="188"/>
      <c r="EO19" s="188"/>
      <c r="EP19" s="188"/>
      <c r="EQ19" s="188"/>
      <c r="ER19" s="188"/>
      <c r="ES19" s="188"/>
      <c r="ET19" s="188"/>
      <c r="EU19" s="188"/>
      <c r="EV19" s="188"/>
      <c r="EW19" s="188"/>
      <c r="EX19" s="188"/>
      <c r="EY19" s="188"/>
      <c r="EZ19" s="188"/>
      <c r="FA19" s="188"/>
      <c r="FB19" s="188"/>
      <c r="FC19" s="188"/>
      <c r="FD19" s="188"/>
      <c r="FE19" s="188"/>
      <c r="FF19" s="188"/>
      <c r="FG19" s="188"/>
      <c r="FH19" s="188"/>
      <c r="FI19" s="188"/>
      <c r="FJ19" s="188"/>
      <c r="FK19" s="188"/>
      <c r="FL19" s="188"/>
      <c r="FM19" s="188"/>
      <c r="FN19" s="188"/>
      <c r="FO19" s="188"/>
      <c r="FP19" s="188"/>
      <c r="FQ19" s="188"/>
      <c r="FR19" s="188"/>
      <c r="FS19" s="188"/>
      <c r="FT19" s="188"/>
      <c r="FU19" s="188"/>
      <c r="FV19" s="188"/>
      <c r="FW19" s="188"/>
      <c r="FX19" s="188"/>
      <c r="FY19" s="188"/>
      <c r="FZ19" s="188"/>
      <c r="GA19" s="188"/>
      <c r="GB19" s="188"/>
      <c r="GC19" s="188"/>
      <c r="GD19" s="188"/>
      <c r="GE19" s="188"/>
      <c r="GF19" s="188"/>
      <c r="GG19" s="188"/>
      <c r="GH19" s="188"/>
      <c r="GI19" s="188"/>
      <c r="GJ19" s="188"/>
      <c r="GK19" s="188"/>
      <c r="GL19" s="188"/>
      <c r="GM19" s="188"/>
      <c r="GN19" s="188"/>
      <c r="GO19" s="188"/>
      <c r="GP19" s="188"/>
      <c r="GQ19" s="188"/>
      <c r="GR19" s="188"/>
      <c r="GS19" s="188"/>
      <c r="GT19" s="188"/>
      <c r="GU19" s="188"/>
      <c r="GV19" s="188"/>
      <c r="GW19" s="188"/>
      <c r="GX19" s="188"/>
      <c r="GY19" s="188"/>
      <c r="GZ19" s="188"/>
      <c r="HA19" s="188"/>
      <c r="HB19" s="188"/>
      <c r="HC19" s="188"/>
      <c r="HD19" s="188"/>
      <c r="HE19" s="188"/>
      <c r="HF19" s="188"/>
      <c r="HG19" s="188"/>
      <c r="HH19" s="188"/>
      <c r="HI19" s="188"/>
      <c r="HJ19" s="188"/>
      <c r="HK19" s="188"/>
      <c r="HL19" s="188"/>
      <c r="HM19" s="188"/>
      <c r="HN19" s="188"/>
      <c r="HO19" s="188"/>
      <c r="HP19" s="188"/>
      <c r="HQ19" s="188"/>
      <c r="HR19" s="188"/>
      <c r="HS19" s="188"/>
      <c r="HT19" s="188"/>
      <c r="HU19" s="188"/>
      <c r="HV19" s="188"/>
      <c r="HW19" s="188"/>
      <c r="HX19" s="188"/>
      <c r="HY19" s="188"/>
      <c r="HZ19" s="188"/>
      <c r="IA19" s="188"/>
      <c r="IB19" s="188"/>
      <c r="IC19" s="188"/>
      <c r="ID19" s="188"/>
      <c r="IE19" s="188"/>
      <c r="IF19" s="188"/>
      <c r="IG19" s="188"/>
      <c r="IH19" s="188"/>
      <c r="II19" s="188"/>
      <c r="IJ19" s="188"/>
      <c r="IK19" s="188"/>
      <c r="IL19" s="188"/>
      <c r="IM19" s="188"/>
      <c r="IN19" s="188"/>
      <c r="IO19" s="188"/>
      <c r="IP19" s="188"/>
      <c r="IQ19" s="188"/>
      <c r="IR19" s="188"/>
      <c r="IS19" s="188"/>
      <c r="IT19" s="188"/>
      <c r="IU19" s="188"/>
      <c r="IV19" s="188"/>
      <c r="IW19" s="188"/>
      <c r="IX19" s="188"/>
      <c r="IY19" s="188"/>
      <c r="IZ19" s="188"/>
      <c r="JA19" s="188"/>
      <c r="JB19" s="188"/>
      <c r="JC19" s="188"/>
      <c r="JD19" s="188"/>
      <c r="JE19" s="188"/>
      <c r="JF19" s="188"/>
      <c r="JG19" s="188"/>
      <c r="JH19" s="188"/>
      <c r="JI19" s="188"/>
      <c r="JJ19" s="188"/>
      <c r="JK19" s="188"/>
      <c r="JL19" s="188"/>
      <c r="JM19" s="188"/>
      <c r="JN19" s="188"/>
      <c r="JO19" s="188"/>
      <c r="JP19" s="188"/>
      <c r="JQ19" s="188"/>
      <c r="JR19" s="188"/>
      <c r="JS19" s="188"/>
      <c r="JT19" s="188"/>
      <c r="JU19" s="188"/>
      <c r="JV19" s="188"/>
      <c r="JW19" s="188"/>
      <c r="JX19" s="188"/>
      <c r="JY19" s="188"/>
      <c r="JZ19" s="188"/>
      <c r="KA19" s="188"/>
      <c r="KB19" s="188"/>
      <c r="KC19" s="188"/>
      <c r="KD19" s="188"/>
      <c r="KE19" s="188"/>
      <c r="KF19" s="188"/>
      <c r="KG19" s="188"/>
      <c r="KH19" s="188"/>
      <c r="KI19" s="188"/>
      <c r="KJ19" s="188"/>
      <c r="KK19" s="149"/>
      <c r="KL19"/>
      <c r="KM19"/>
      <c r="KN19"/>
      <c r="KO19"/>
      <c r="KP19"/>
      <c r="KQ19"/>
      <c r="KR19"/>
      <c r="KS19"/>
      <c r="KT19"/>
    </row>
    <row r="20" spans="1:306" s="181" customFormat="1" ht="18" customHeight="1">
      <c r="A20" s="153" t="s">
        <v>167</v>
      </c>
      <c r="B20" s="153">
        <v>12</v>
      </c>
      <c r="C20" s="153"/>
      <c r="D20" s="153"/>
      <c r="E20" s="153"/>
      <c r="F20" s="153"/>
      <c r="G20" s="153">
        <v>1</v>
      </c>
      <c r="H20" s="187"/>
      <c r="I20" s="190" t="s">
        <v>169</v>
      </c>
      <c r="J20" s="170" t="s">
        <v>310</v>
      </c>
      <c r="K20" s="213" t="s">
        <v>309</v>
      </c>
      <c r="L20" s="172" t="s">
        <v>168</v>
      </c>
      <c r="M20" s="173" t="s">
        <v>56</v>
      </c>
      <c r="N20" s="171"/>
      <c r="O20" s="174"/>
      <c r="P20" s="175"/>
      <c r="Q20" s="175"/>
      <c r="R20" s="176"/>
      <c r="S20" s="175">
        <v>44679.541666666664</v>
      </c>
      <c r="T20" s="175">
        <v>44679.75</v>
      </c>
      <c r="U20" s="193">
        <v>5</v>
      </c>
      <c r="V20" s="171"/>
      <c r="W20" s="177">
        <v>100</v>
      </c>
      <c r="X20" s="178">
        <v>1</v>
      </c>
      <c r="Y20" s="175"/>
      <c r="Z20" s="175"/>
      <c r="AA20" s="176"/>
      <c r="AB20" s="174"/>
      <c r="AC20" s="174"/>
      <c r="AD20" s="174"/>
      <c r="AE20" s="179"/>
      <c r="AF20" s="171"/>
      <c r="AG20" s="171"/>
      <c r="AH20" s="171"/>
      <c r="AI20" s="171"/>
      <c r="AJ20" s="171"/>
      <c r="AK20" s="171"/>
      <c r="AL20" s="171"/>
      <c r="AM20" s="171"/>
      <c r="AN20" s="171"/>
      <c r="AO20" s="171"/>
      <c r="AP20" s="171"/>
      <c r="AQ20" s="171"/>
      <c r="AR20" s="171"/>
      <c r="AS20" s="171"/>
      <c r="AT20" s="171"/>
      <c r="AU20" s="171"/>
      <c r="AV20" s="171"/>
      <c r="AW20" s="171"/>
      <c r="AX20" s="171"/>
      <c r="AY20" s="171"/>
      <c r="AZ20" s="171"/>
      <c r="BA20" s="171"/>
      <c r="BB20" s="171"/>
      <c r="BC20" s="171"/>
      <c r="BD20" s="180"/>
      <c r="BE20" s="188"/>
      <c r="BF20" s="188"/>
      <c r="BG20" s="188"/>
      <c r="BH20" s="188"/>
      <c r="BI20" s="188"/>
      <c r="BJ20" s="188"/>
      <c r="BK20" s="188"/>
      <c r="BL20" s="188"/>
      <c r="BM20" s="188"/>
      <c r="BN20" s="188"/>
      <c r="BO20" s="188"/>
      <c r="BP20" s="188"/>
      <c r="BQ20" s="188"/>
      <c r="BR20" s="188"/>
      <c r="BS20" s="188"/>
      <c r="BT20" s="188"/>
      <c r="BU20" s="188"/>
      <c r="BV20" s="188"/>
      <c r="BW20" s="188"/>
      <c r="BX20" s="188"/>
      <c r="BY20" s="188"/>
      <c r="BZ20" s="188"/>
      <c r="CA20" s="188"/>
      <c r="CB20" s="188"/>
      <c r="CC20" s="188"/>
      <c r="CD20" s="188"/>
      <c r="CE20" s="188"/>
      <c r="CF20" s="188"/>
      <c r="CG20" s="188"/>
      <c r="CH20" s="188"/>
      <c r="CI20" s="188"/>
      <c r="CJ20" s="188"/>
      <c r="CK20" s="188"/>
      <c r="CL20" s="188"/>
      <c r="CM20" s="188"/>
      <c r="CN20" s="188"/>
      <c r="CO20" s="188"/>
      <c r="CP20" s="188"/>
      <c r="CQ20" s="188"/>
      <c r="CR20" s="188"/>
      <c r="CS20" s="188"/>
      <c r="CT20" s="188"/>
      <c r="CU20" s="188"/>
      <c r="CV20" s="188"/>
      <c r="CW20" s="188"/>
      <c r="CX20" s="188"/>
      <c r="CY20" s="188"/>
      <c r="CZ20" s="188"/>
      <c r="DA20" s="188"/>
      <c r="DB20" s="188"/>
      <c r="DC20" s="188"/>
      <c r="DD20" s="188"/>
      <c r="DE20" s="188"/>
      <c r="DF20" s="188"/>
      <c r="DG20" s="188"/>
      <c r="DH20" s="188"/>
      <c r="DI20" s="188"/>
      <c r="DJ20" s="188"/>
      <c r="DK20" s="188"/>
      <c r="DL20" s="188"/>
      <c r="DM20" s="188"/>
      <c r="DN20" s="188"/>
      <c r="DO20" s="188"/>
      <c r="DP20" s="188"/>
      <c r="DQ20" s="188"/>
      <c r="DR20" s="188"/>
      <c r="DS20" s="188"/>
      <c r="DT20" s="188"/>
      <c r="DU20" s="188"/>
      <c r="DV20" s="188"/>
      <c r="DW20" s="188"/>
      <c r="DX20" s="188"/>
      <c r="DY20" s="188"/>
      <c r="DZ20" s="188"/>
      <c r="EA20" s="188"/>
      <c r="EB20" s="188"/>
      <c r="EC20" s="188"/>
      <c r="ED20" s="188"/>
      <c r="EE20" s="188"/>
      <c r="EF20" s="188"/>
      <c r="EG20" s="188"/>
      <c r="EH20" s="188"/>
      <c r="EI20" s="188"/>
      <c r="EJ20" s="188"/>
      <c r="EK20" s="188"/>
      <c r="EL20" s="188"/>
      <c r="EM20" s="188"/>
      <c r="EN20" s="188"/>
      <c r="EO20" s="188"/>
      <c r="EP20" s="188"/>
      <c r="EQ20" s="188"/>
      <c r="ER20" s="188"/>
      <c r="ES20" s="188"/>
      <c r="ET20" s="188"/>
      <c r="EU20" s="188"/>
      <c r="EV20" s="188"/>
      <c r="EW20" s="188"/>
      <c r="EX20" s="188"/>
      <c r="EY20" s="188"/>
      <c r="EZ20" s="188"/>
      <c r="FA20" s="188"/>
      <c r="FB20" s="188"/>
      <c r="FC20" s="188"/>
      <c r="FD20" s="188"/>
      <c r="FE20" s="188"/>
      <c r="FF20" s="188"/>
      <c r="FG20" s="188"/>
      <c r="FH20" s="188"/>
      <c r="FI20" s="188"/>
      <c r="FJ20" s="188"/>
      <c r="FK20" s="188"/>
      <c r="FL20" s="188"/>
      <c r="FM20" s="188"/>
      <c r="FN20" s="188"/>
      <c r="FO20" s="188"/>
      <c r="FP20" s="188"/>
      <c r="FQ20" s="188"/>
      <c r="FR20" s="188"/>
      <c r="FS20" s="188"/>
      <c r="FT20" s="188"/>
      <c r="FU20" s="188"/>
      <c r="FV20" s="188"/>
      <c r="FW20" s="188"/>
      <c r="FX20" s="188"/>
      <c r="FY20" s="188"/>
      <c r="FZ20" s="188"/>
      <c r="GA20" s="188"/>
      <c r="GB20" s="188"/>
      <c r="GC20" s="188"/>
      <c r="GD20" s="188"/>
      <c r="GE20" s="188"/>
      <c r="GF20" s="188"/>
      <c r="GG20" s="188"/>
      <c r="GH20" s="188"/>
      <c r="GI20" s="188"/>
      <c r="GJ20" s="188"/>
      <c r="GK20" s="188"/>
      <c r="GL20" s="188"/>
      <c r="GM20" s="188"/>
      <c r="GN20" s="188"/>
      <c r="GO20" s="188"/>
      <c r="GP20" s="188"/>
      <c r="GQ20" s="188"/>
      <c r="GR20" s="188"/>
      <c r="GS20" s="188"/>
      <c r="GT20" s="188"/>
      <c r="GU20" s="188"/>
      <c r="GV20" s="188"/>
      <c r="GW20" s="188"/>
      <c r="GX20" s="188"/>
      <c r="GY20" s="188"/>
      <c r="GZ20" s="188"/>
      <c r="HA20" s="188"/>
      <c r="HB20" s="188"/>
      <c r="HC20" s="188"/>
      <c r="HD20" s="188"/>
      <c r="HE20" s="188"/>
      <c r="HF20" s="188"/>
      <c r="HG20" s="188"/>
      <c r="HH20" s="188"/>
      <c r="HI20" s="188"/>
      <c r="HJ20" s="188"/>
      <c r="HK20" s="188"/>
      <c r="HL20" s="188"/>
      <c r="HM20" s="188"/>
      <c r="HN20" s="188"/>
      <c r="HO20" s="188"/>
      <c r="HP20" s="188"/>
      <c r="HQ20" s="188"/>
      <c r="HR20" s="188"/>
      <c r="HS20" s="188"/>
      <c r="HT20" s="188"/>
      <c r="HU20" s="188"/>
      <c r="HV20" s="188"/>
      <c r="HW20" s="188"/>
      <c r="HX20" s="188"/>
      <c r="HY20" s="188"/>
      <c r="HZ20" s="188"/>
      <c r="IA20" s="188"/>
      <c r="IB20" s="188"/>
      <c r="IC20" s="188"/>
      <c r="ID20" s="188"/>
      <c r="IE20" s="188"/>
      <c r="IF20" s="188"/>
      <c r="IG20" s="188"/>
      <c r="IH20" s="188"/>
      <c r="II20" s="188"/>
      <c r="IJ20" s="188"/>
      <c r="IK20" s="188"/>
      <c r="IL20" s="188"/>
      <c r="IM20" s="188"/>
      <c r="IN20" s="188"/>
      <c r="IO20" s="188"/>
      <c r="IP20" s="188"/>
      <c r="IQ20" s="188"/>
      <c r="IR20" s="188"/>
      <c r="IS20" s="188"/>
      <c r="IT20" s="188"/>
      <c r="IU20" s="188"/>
      <c r="IV20" s="188"/>
      <c r="IW20" s="188"/>
      <c r="IX20" s="188"/>
      <c r="IY20" s="188"/>
      <c r="IZ20" s="188"/>
      <c r="JA20" s="188"/>
      <c r="JB20" s="188"/>
      <c r="JC20" s="188"/>
      <c r="JD20" s="188"/>
      <c r="JE20" s="188"/>
      <c r="JF20" s="188"/>
      <c r="JG20" s="188"/>
      <c r="JH20" s="188"/>
      <c r="JI20" s="188"/>
      <c r="JJ20" s="188"/>
      <c r="JK20" s="188"/>
      <c r="JL20" s="188"/>
      <c r="JM20" s="188"/>
      <c r="JN20" s="188"/>
      <c r="JO20" s="188"/>
      <c r="JP20" s="188"/>
      <c r="JQ20" s="188"/>
      <c r="JR20" s="188"/>
      <c r="JS20" s="188"/>
      <c r="JT20" s="188"/>
      <c r="JU20" s="188"/>
      <c r="JV20" s="188"/>
      <c r="JW20" s="188"/>
      <c r="JX20" s="188"/>
      <c r="JY20" s="188"/>
      <c r="JZ20" s="188"/>
      <c r="KA20" s="188"/>
      <c r="KB20" s="188"/>
      <c r="KC20" s="188"/>
      <c r="KD20" s="188"/>
      <c r="KE20" s="188"/>
      <c r="KF20" s="188"/>
      <c r="KG20" s="188"/>
      <c r="KH20" s="188"/>
      <c r="KI20" s="188"/>
      <c r="KJ20" s="188"/>
      <c r="KK20" s="149"/>
      <c r="KL20"/>
      <c r="KM20"/>
      <c r="KN20"/>
      <c r="KO20"/>
      <c r="KP20"/>
      <c r="KQ20"/>
      <c r="KR20"/>
      <c r="KS20"/>
      <c r="KT20"/>
    </row>
    <row r="21" spans="1:306" s="181" customFormat="1" ht="18" customHeight="1">
      <c r="A21" s="153" t="s">
        <v>167</v>
      </c>
      <c r="B21" s="153">
        <v>13</v>
      </c>
      <c r="C21" s="153"/>
      <c r="D21" s="153"/>
      <c r="E21" s="153"/>
      <c r="F21" s="153"/>
      <c r="G21" s="153">
        <v>1</v>
      </c>
      <c r="H21" s="187"/>
      <c r="I21" s="190" t="s">
        <v>169</v>
      </c>
      <c r="J21" s="170" t="s">
        <v>312</v>
      </c>
      <c r="K21" s="213" t="s">
        <v>311</v>
      </c>
      <c r="L21" s="172" t="s">
        <v>168</v>
      </c>
      <c r="M21" s="173" t="s">
        <v>56</v>
      </c>
      <c r="N21" s="171"/>
      <c r="O21" s="174"/>
      <c r="P21" s="175"/>
      <c r="Q21" s="175"/>
      <c r="R21" s="176"/>
      <c r="S21" s="175">
        <v>44680.375</v>
      </c>
      <c r="T21" s="175">
        <v>44680.75</v>
      </c>
      <c r="U21" s="193">
        <v>9</v>
      </c>
      <c r="V21" s="171"/>
      <c r="W21" s="177">
        <v>100</v>
      </c>
      <c r="X21" s="178">
        <v>1</v>
      </c>
      <c r="Y21" s="175"/>
      <c r="Z21" s="175"/>
      <c r="AA21" s="176"/>
      <c r="AB21" s="174"/>
      <c r="AC21" s="174"/>
      <c r="AD21" s="174"/>
      <c r="AE21" s="179"/>
      <c r="AF21" s="171"/>
      <c r="AG21" s="171"/>
      <c r="AH21" s="171"/>
      <c r="AI21" s="171"/>
      <c r="AJ21" s="171"/>
      <c r="AK21" s="171"/>
      <c r="AL21" s="171"/>
      <c r="AM21" s="171"/>
      <c r="AN21" s="171"/>
      <c r="AO21" s="171"/>
      <c r="AP21" s="171"/>
      <c r="AQ21" s="171"/>
      <c r="AR21" s="171"/>
      <c r="AS21" s="171"/>
      <c r="AT21" s="171"/>
      <c r="AU21" s="171"/>
      <c r="AV21" s="171"/>
      <c r="AW21" s="171"/>
      <c r="AX21" s="171"/>
      <c r="AY21" s="171"/>
      <c r="AZ21" s="171"/>
      <c r="BA21" s="171"/>
      <c r="BB21" s="171"/>
      <c r="BC21" s="171"/>
      <c r="BD21" s="180"/>
      <c r="BE21" s="188"/>
      <c r="BF21" s="188"/>
      <c r="BG21" s="188"/>
      <c r="BH21" s="188"/>
      <c r="BI21" s="188"/>
      <c r="BJ21" s="188"/>
      <c r="BK21" s="188"/>
      <c r="BL21" s="188"/>
      <c r="BM21" s="188"/>
      <c r="BN21" s="188"/>
      <c r="BO21" s="188"/>
      <c r="BP21" s="188"/>
      <c r="BQ21" s="188"/>
      <c r="BR21" s="188"/>
      <c r="BS21" s="188"/>
      <c r="BT21" s="188"/>
      <c r="BU21" s="188"/>
      <c r="BV21" s="188"/>
      <c r="BW21" s="188"/>
      <c r="BX21" s="188"/>
      <c r="BY21" s="188"/>
      <c r="BZ21" s="188"/>
      <c r="CA21" s="188"/>
      <c r="CB21" s="188"/>
      <c r="CC21" s="188"/>
      <c r="CD21" s="188"/>
      <c r="CE21" s="188"/>
      <c r="CF21" s="188"/>
      <c r="CG21" s="188"/>
      <c r="CH21" s="188"/>
      <c r="CI21" s="188"/>
      <c r="CJ21" s="188"/>
      <c r="CK21" s="188"/>
      <c r="CL21" s="188"/>
      <c r="CM21" s="188"/>
      <c r="CN21" s="188"/>
      <c r="CO21" s="188"/>
      <c r="CP21" s="188"/>
      <c r="CQ21" s="188"/>
      <c r="CR21" s="188"/>
      <c r="CS21" s="188"/>
      <c r="CT21" s="188"/>
      <c r="CU21" s="188"/>
      <c r="CV21" s="188"/>
      <c r="CW21" s="188"/>
      <c r="CX21" s="188"/>
      <c r="CY21" s="188"/>
      <c r="CZ21" s="188"/>
      <c r="DA21" s="188"/>
      <c r="DB21" s="188"/>
      <c r="DC21" s="188"/>
      <c r="DD21" s="188"/>
      <c r="DE21" s="188"/>
      <c r="DF21" s="188"/>
      <c r="DG21" s="188"/>
      <c r="DH21" s="188"/>
      <c r="DI21" s="188"/>
      <c r="DJ21" s="188"/>
      <c r="DK21" s="188"/>
      <c r="DL21" s="188"/>
      <c r="DM21" s="188"/>
      <c r="DN21" s="188"/>
      <c r="DO21" s="188"/>
      <c r="DP21" s="188"/>
      <c r="DQ21" s="188"/>
      <c r="DR21" s="188"/>
      <c r="DS21" s="188"/>
      <c r="DT21" s="188"/>
      <c r="DU21" s="188"/>
      <c r="DV21" s="188"/>
      <c r="DW21" s="188"/>
      <c r="DX21" s="188"/>
      <c r="DY21" s="188"/>
      <c r="DZ21" s="188"/>
      <c r="EA21" s="188"/>
      <c r="EB21" s="188"/>
      <c r="EC21" s="188"/>
      <c r="ED21" s="188"/>
      <c r="EE21" s="188"/>
      <c r="EF21" s="188"/>
      <c r="EG21" s="188"/>
      <c r="EH21" s="188"/>
      <c r="EI21" s="188"/>
      <c r="EJ21" s="188"/>
      <c r="EK21" s="188"/>
      <c r="EL21" s="188"/>
      <c r="EM21" s="188"/>
      <c r="EN21" s="188"/>
      <c r="EO21" s="188"/>
      <c r="EP21" s="188"/>
      <c r="EQ21" s="188"/>
      <c r="ER21" s="188"/>
      <c r="ES21" s="188"/>
      <c r="ET21" s="188"/>
      <c r="EU21" s="188"/>
      <c r="EV21" s="188"/>
      <c r="EW21" s="188"/>
      <c r="EX21" s="188"/>
      <c r="EY21" s="188"/>
      <c r="EZ21" s="188"/>
      <c r="FA21" s="188"/>
      <c r="FB21" s="188"/>
      <c r="FC21" s="188"/>
      <c r="FD21" s="188"/>
      <c r="FE21" s="188"/>
      <c r="FF21" s="188"/>
      <c r="FG21" s="188"/>
      <c r="FH21" s="188"/>
      <c r="FI21" s="188"/>
      <c r="FJ21" s="188"/>
      <c r="FK21" s="188"/>
      <c r="FL21" s="188"/>
      <c r="FM21" s="188"/>
      <c r="FN21" s="188"/>
      <c r="FO21" s="188"/>
      <c r="FP21" s="188"/>
      <c r="FQ21" s="188"/>
      <c r="FR21" s="188"/>
      <c r="FS21" s="188"/>
      <c r="FT21" s="188"/>
      <c r="FU21" s="188"/>
      <c r="FV21" s="188"/>
      <c r="FW21" s="188"/>
      <c r="FX21" s="188"/>
      <c r="FY21" s="188"/>
      <c r="FZ21" s="188"/>
      <c r="GA21" s="188"/>
      <c r="GB21" s="188"/>
      <c r="GC21" s="188"/>
      <c r="GD21" s="188"/>
      <c r="GE21" s="188"/>
      <c r="GF21" s="188"/>
      <c r="GG21" s="188"/>
      <c r="GH21" s="188"/>
      <c r="GI21" s="188"/>
      <c r="GJ21" s="188"/>
      <c r="GK21" s="188"/>
      <c r="GL21" s="188"/>
      <c r="GM21" s="188"/>
      <c r="GN21" s="188"/>
      <c r="GO21" s="188"/>
      <c r="GP21" s="188"/>
      <c r="GQ21" s="188"/>
      <c r="GR21" s="188"/>
      <c r="GS21" s="188"/>
      <c r="GT21" s="188"/>
      <c r="GU21" s="188"/>
      <c r="GV21" s="188"/>
      <c r="GW21" s="188"/>
      <c r="GX21" s="188"/>
      <c r="GY21" s="188"/>
      <c r="GZ21" s="188"/>
      <c r="HA21" s="188"/>
      <c r="HB21" s="188"/>
      <c r="HC21" s="188"/>
      <c r="HD21" s="188"/>
      <c r="HE21" s="188"/>
      <c r="HF21" s="188"/>
      <c r="HG21" s="188"/>
      <c r="HH21" s="188"/>
      <c r="HI21" s="188"/>
      <c r="HJ21" s="188"/>
      <c r="HK21" s="188"/>
      <c r="HL21" s="188"/>
      <c r="HM21" s="188"/>
      <c r="HN21" s="188"/>
      <c r="HO21" s="188"/>
      <c r="HP21" s="188"/>
      <c r="HQ21" s="188"/>
      <c r="HR21" s="188"/>
      <c r="HS21" s="188"/>
      <c r="HT21" s="188"/>
      <c r="HU21" s="188"/>
      <c r="HV21" s="188"/>
      <c r="HW21" s="188"/>
      <c r="HX21" s="188"/>
      <c r="HY21" s="188"/>
      <c r="HZ21" s="188"/>
      <c r="IA21" s="188"/>
      <c r="IB21" s="188"/>
      <c r="IC21" s="188"/>
      <c r="ID21" s="188"/>
      <c r="IE21" s="188"/>
      <c r="IF21" s="188"/>
      <c r="IG21" s="188"/>
      <c r="IH21" s="188"/>
      <c r="II21" s="188"/>
      <c r="IJ21" s="188"/>
      <c r="IK21" s="188"/>
      <c r="IL21" s="188"/>
      <c r="IM21" s="188"/>
      <c r="IN21" s="188"/>
      <c r="IO21" s="188"/>
      <c r="IP21" s="188"/>
      <c r="IQ21" s="188"/>
      <c r="IR21" s="188"/>
      <c r="IS21" s="188"/>
      <c r="IT21" s="188"/>
      <c r="IU21" s="188"/>
      <c r="IV21" s="188"/>
      <c r="IW21" s="188"/>
      <c r="IX21" s="188"/>
      <c r="IY21" s="188"/>
      <c r="IZ21" s="188"/>
      <c r="JA21" s="188"/>
      <c r="JB21" s="188"/>
      <c r="JC21" s="188"/>
      <c r="JD21" s="188"/>
      <c r="JE21" s="188"/>
      <c r="JF21" s="188"/>
      <c r="JG21" s="188"/>
      <c r="JH21" s="188"/>
      <c r="JI21" s="188"/>
      <c r="JJ21" s="188"/>
      <c r="JK21" s="188"/>
      <c r="JL21" s="188"/>
      <c r="JM21" s="188"/>
      <c r="JN21" s="188"/>
      <c r="JO21" s="188"/>
      <c r="JP21" s="188"/>
      <c r="JQ21" s="188"/>
      <c r="JR21" s="188"/>
      <c r="JS21" s="188"/>
      <c r="JT21" s="188"/>
      <c r="JU21" s="188"/>
      <c r="JV21" s="188"/>
      <c r="JW21" s="188"/>
      <c r="JX21" s="188"/>
      <c r="JY21" s="188"/>
      <c r="JZ21" s="188"/>
      <c r="KA21" s="188"/>
      <c r="KB21" s="188"/>
      <c r="KC21" s="188"/>
      <c r="KD21" s="188"/>
      <c r="KE21" s="188"/>
      <c r="KF21" s="188"/>
      <c r="KG21" s="188"/>
      <c r="KH21" s="188"/>
      <c r="KI21" s="188"/>
      <c r="KJ21" s="188"/>
      <c r="KK21" s="149"/>
      <c r="KL21"/>
      <c r="KM21"/>
      <c r="KN21"/>
      <c r="KO21"/>
      <c r="KP21"/>
      <c r="KQ21"/>
      <c r="KR21"/>
      <c r="KS21"/>
      <c r="KT21"/>
    </row>
    <row r="22" spans="1:306" s="181" customFormat="1" ht="18" customHeight="1">
      <c r="A22" s="153" t="s">
        <v>167</v>
      </c>
      <c r="B22" s="153">
        <v>14</v>
      </c>
      <c r="C22" s="153"/>
      <c r="D22" s="153"/>
      <c r="E22" s="153"/>
      <c r="F22" s="153"/>
      <c r="G22" s="153">
        <v>1</v>
      </c>
      <c r="H22" s="187"/>
      <c r="I22" s="190" t="s">
        <v>169</v>
      </c>
      <c r="J22" s="170" t="s">
        <v>313</v>
      </c>
      <c r="K22" s="213" t="s">
        <v>311</v>
      </c>
      <c r="L22" s="172" t="s">
        <v>168</v>
      </c>
      <c r="M22" s="173" t="s">
        <v>56</v>
      </c>
      <c r="N22" s="171"/>
      <c r="O22" s="174"/>
      <c r="P22" s="175"/>
      <c r="Q22" s="175"/>
      <c r="R22" s="176"/>
      <c r="S22" s="175">
        <v>44685.375</v>
      </c>
      <c r="T22" s="175">
        <v>44687.5</v>
      </c>
      <c r="U22" s="193">
        <v>21</v>
      </c>
      <c r="V22" s="171"/>
      <c r="W22" s="177">
        <v>100</v>
      </c>
      <c r="X22" s="178">
        <v>1</v>
      </c>
      <c r="Y22" s="175"/>
      <c r="Z22" s="175"/>
      <c r="AA22" s="176"/>
      <c r="AB22" s="174"/>
      <c r="AC22" s="174"/>
      <c r="AD22" s="174"/>
      <c r="AE22" s="179"/>
      <c r="AF22" s="171"/>
      <c r="AG22" s="171"/>
      <c r="AH22" s="171"/>
      <c r="AI22" s="171"/>
      <c r="AJ22" s="171"/>
      <c r="AK22" s="171"/>
      <c r="AL22" s="171"/>
      <c r="AM22" s="171"/>
      <c r="AN22" s="171"/>
      <c r="AO22" s="171"/>
      <c r="AP22" s="171"/>
      <c r="AQ22" s="171"/>
      <c r="AR22" s="171"/>
      <c r="AS22" s="171"/>
      <c r="AT22" s="171"/>
      <c r="AU22" s="171"/>
      <c r="AV22" s="171"/>
      <c r="AW22" s="171"/>
      <c r="AX22" s="171"/>
      <c r="AY22" s="171"/>
      <c r="AZ22" s="171"/>
      <c r="BA22" s="171"/>
      <c r="BB22" s="171"/>
      <c r="BC22" s="171"/>
      <c r="BD22" s="180"/>
      <c r="BE22" s="188"/>
      <c r="BF22" s="188"/>
      <c r="BG22" s="188"/>
      <c r="BH22" s="188"/>
      <c r="BI22" s="188"/>
      <c r="BJ22" s="188"/>
      <c r="BK22" s="188"/>
      <c r="BL22" s="188"/>
      <c r="BM22" s="188"/>
      <c r="BN22" s="188"/>
      <c r="BO22" s="188"/>
      <c r="BP22" s="188"/>
      <c r="BQ22" s="188"/>
      <c r="BR22" s="188"/>
      <c r="BS22" s="188"/>
      <c r="BT22" s="188"/>
      <c r="BU22" s="188"/>
      <c r="BV22" s="188"/>
      <c r="BW22" s="188"/>
      <c r="BX22" s="188"/>
      <c r="BY22" s="188"/>
      <c r="BZ22" s="188"/>
      <c r="CA22" s="188"/>
      <c r="CB22" s="188"/>
      <c r="CC22" s="188"/>
      <c r="CD22" s="188"/>
      <c r="CE22" s="188"/>
      <c r="CF22" s="188"/>
      <c r="CG22" s="188"/>
      <c r="CH22" s="188"/>
      <c r="CI22" s="188"/>
      <c r="CJ22" s="188"/>
      <c r="CK22" s="188"/>
      <c r="CL22" s="188"/>
      <c r="CM22" s="188"/>
      <c r="CN22" s="188"/>
      <c r="CO22" s="188"/>
      <c r="CP22" s="188"/>
      <c r="CQ22" s="188"/>
      <c r="CR22" s="188"/>
      <c r="CS22" s="188"/>
      <c r="CT22" s="188"/>
      <c r="CU22" s="188"/>
      <c r="CV22" s="188"/>
      <c r="CW22" s="188"/>
      <c r="CX22" s="188"/>
      <c r="CY22" s="188"/>
      <c r="CZ22" s="188"/>
      <c r="DA22" s="188"/>
      <c r="DB22" s="188"/>
      <c r="DC22" s="188"/>
      <c r="DD22" s="188"/>
      <c r="DE22" s="188"/>
      <c r="DF22" s="188"/>
      <c r="DG22" s="188"/>
      <c r="DH22" s="188"/>
      <c r="DI22" s="188"/>
      <c r="DJ22" s="188"/>
      <c r="DK22" s="188"/>
      <c r="DL22" s="188"/>
      <c r="DM22" s="188"/>
      <c r="DN22" s="188"/>
      <c r="DO22" s="188"/>
      <c r="DP22" s="188"/>
      <c r="DQ22" s="188"/>
      <c r="DR22" s="188"/>
      <c r="DS22" s="188"/>
      <c r="DT22" s="188"/>
      <c r="DU22" s="188"/>
      <c r="DV22" s="188"/>
      <c r="DW22" s="188"/>
      <c r="DX22" s="188"/>
      <c r="DY22" s="188"/>
      <c r="DZ22" s="188"/>
      <c r="EA22" s="188"/>
      <c r="EB22" s="188"/>
      <c r="EC22" s="188"/>
      <c r="ED22" s="188"/>
      <c r="EE22" s="188"/>
      <c r="EF22" s="188"/>
      <c r="EG22" s="188"/>
      <c r="EH22" s="188"/>
      <c r="EI22" s="188"/>
      <c r="EJ22" s="188"/>
      <c r="EK22" s="188"/>
      <c r="EL22" s="188"/>
      <c r="EM22" s="188"/>
      <c r="EN22" s="188"/>
      <c r="EO22" s="188"/>
      <c r="EP22" s="188"/>
      <c r="EQ22" s="188"/>
      <c r="ER22" s="188"/>
      <c r="ES22" s="188"/>
      <c r="ET22" s="188"/>
      <c r="EU22" s="188"/>
      <c r="EV22" s="188"/>
      <c r="EW22" s="188"/>
      <c r="EX22" s="188"/>
      <c r="EY22" s="188"/>
      <c r="EZ22" s="188"/>
      <c r="FA22" s="188"/>
      <c r="FB22" s="188"/>
      <c r="FC22" s="188"/>
      <c r="FD22" s="188"/>
      <c r="FE22" s="188"/>
      <c r="FF22" s="188"/>
      <c r="FG22" s="188"/>
      <c r="FH22" s="188"/>
      <c r="FI22" s="188"/>
      <c r="FJ22" s="188"/>
      <c r="FK22" s="188"/>
      <c r="FL22" s="188"/>
      <c r="FM22" s="188"/>
      <c r="FN22" s="188"/>
      <c r="FO22" s="188"/>
      <c r="FP22" s="188"/>
      <c r="FQ22" s="188"/>
      <c r="FR22" s="188"/>
      <c r="FS22" s="188"/>
      <c r="FT22" s="188"/>
      <c r="FU22" s="188"/>
      <c r="FV22" s="188"/>
      <c r="FW22" s="188"/>
      <c r="FX22" s="188"/>
      <c r="FY22" s="188"/>
      <c r="FZ22" s="188"/>
      <c r="GA22" s="188"/>
      <c r="GB22" s="188"/>
      <c r="GC22" s="188"/>
      <c r="GD22" s="188"/>
      <c r="GE22" s="188"/>
      <c r="GF22" s="188"/>
      <c r="GG22" s="188"/>
      <c r="GH22" s="188"/>
      <c r="GI22" s="188"/>
      <c r="GJ22" s="188"/>
      <c r="GK22" s="188"/>
      <c r="GL22" s="188"/>
      <c r="GM22" s="188"/>
      <c r="GN22" s="188"/>
      <c r="GO22" s="188"/>
      <c r="GP22" s="188"/>
      <c r="GQ22" s="188"/>
      <c r="GR22" s="188"/>
      <c r="GS22" s="188"/>
      <c r="GT22" s="188"/>
      <c r="GU22" s="188"/>
      <c r="GV22" s="188"/>
      <c r="GW22" s="188"/>
      <c r="GX22" s="188"/>
      <c r="GY22" s="188"/>
      <c r="GZ22" s="188"/>
      <c r="HA22" s="188"/>
      <c r="HB22" s="188"/>
      <c r="HC22" s="188"/>
      <c r="HD22" s="188"/>
      <c r="HE22" s="188"/>
      <c r="HF22" s="188"/>
      <c r="HG22" s="188"/>
      <c r="HH22" s="188"/>
      <c r="HI22" s="188"/>
      <c r="HJ22" s="188"/>
      <c r="HK22" s="188"/>
      <c r="HL22" s="188"/>
      <c r="HM22" s="188"/>
      <c r="HN22" s="188"/>
      <c r="HO22" s="188"/>
      <c r="HP22" s="188"/>
      <c r="HQ22" s="188"/>
      <c r="HR22" s="188"/>
      <c r="HS22" s="188"/>
      <c r="HT22" s="188"/>
      <c r="HU22" s="188"/>
      <c r="HV22" s="188"/>
      <c r="HW22" s="188"/>
      <c r="HX22" s="188"/>
      <c r="HY22" s="188"/>
      <c r="HZ22" s="188"/>
      <c r="IA22" s="188"/>
      <c r="IB22" s="188"/>
      <c r="IC22" s="188"/>
      <c r="ID22" s="188"/>
      <c r="IE22" s="188"/>
      <c r="IF22" s="188"/>
      <c r="IG22" s="188"/>
      <c r="IH22" s="188"/>
      <c r="II22" s="188"/>
      <c r="IJ22" s="188"/>
      <c r="IK22" s="188"/>
      <c r="IL22" s="188"/>
      <c r="IM22" s="188"/>
      <c r="IN22" s="188"/>
      <c r="IO22" s="188"/>
      <c r="IP22" s="188"/>
      <c r="IQ22" s="188"/>
      <c r="IR22" s="188"/>
      <c r="IS22" s="188"/>
      <c r="IT22" s="188"/>
      <c r="IU22" s="188"/>
      <c r="IV22" s="188"/>
      <c r="IW22" s="188"/>
      <c r="IX22" s="188"/>
      <c r="IY22" s="188"/>
      <c r="IZ22" s="188"/>
      <c r="JA22" s="188"/>
      <c r="JB22" s="188"/>
      <c r="JC22" s="188"/>
      <c r="JD22" s="188"/>
      <c r="JE22" s="188"/>
      <c r="JF22" s="188"/>
      <c r="JG22" s="188"/>
      <c r="JH22" s="188"/>
      <c r="JI22" s="188"/>
      <c r="JJ22" s="188"/>
      <c r="JK22" s="188"/>
      <c r="JL22" s="188"/>
      <c r="JM22" s="188"/>
      <c r="JN22" s="188"/>
      <c r="JO22" s="188"/>
      <c r="JP22" s="188"/>
      <c r="JQ22" s="188"/>
      <c r="JR22" s="188"/>
      <c r="JS22" s="188"/>
      <c r="JT22" s="188"/>
      <c r="JU22" s="188"/>
      <c r="JV22" s="188"/>
      <c r="JW22" s="188"/>
      <c r="JX22" s="188"/>
      <c r="JY22" s="188"/>
      <c r="JZ22" s="188"/>
      <c r="KA22" s="188"/>
      <c r="KB22" s="188"/>
      <c r="KC22" s="188"/>
      <c r="KD22" s="188"/>
      <c r="KE22" s="188"/>
      <c r="KF22" s="188"/>
      <c r="KG22" s="188"/>
      <c r="KH22" s="188"/>
      <c r="KI22" s="188"/>
      <c r="KJ22" s="188"/>
      <c r="KK22" s="149"/>
      <c r="KL22"/>
      <c r="KM22"/>
      <c r="KN22"/>
      <c r="KO22"/>
      <c r="KP22"/>
      <c r="KQ22"/>
      <c r="KR22"/>
      <c r="KS22"/>
      <c r="KT22"/>
    </row>
    <row r="23" spans="1:306" s="181" customFormat="1" ht="18" customHeight="1">
      <c r="A23" s="153" t="s">
        <v>167</v>
      </c>
      <c r="B23" s="153">
        <v>15</v>
      </c>
      <c r="C23" s="153"/>
      <c r="D23" s="153"/>
      <c r="E23" s="153"/>
      <c r="F23" s="153"/>
      <c r="G23" s="153">
        <v>1</v>
      </c>
      <c r="H23" s="187"/>
      <c r="I23" s="190" t="s">
        <v>169</v>
      </c>
      <c r="J23" s="170" t="s">
        <v>315</v>
      </c>
      <c r="K23" s="213" t="s">
        <v>314</v>
      </c>
      <c r="L23" s="172" t="s">
        <v>168</v>
      </c>
      <c r="M23" s="173" t="s">
        <v>56</v>
      </c>
      <c r="N23" s="171"/>
      <c r="O23" s="174"/>
      <c r="P23" s="175"/>
      <c r="Q23" s="175"/>
      <c r="R23" s="176"/>
      <c r="S23" s="175">
        <v>44687.5</v>
      </c>
      <c r="T23" s="175">
        <v>44687.541666666664</v>
      </c>
      <c r="U23" s="193">
        <v>1</v>
      </c>
      <c r="V23" s="171"/>
      <c r="W23" s="177">
        <v>100</v>
      </c>
      <c r="X23" s="178">
        <v>1</v>
      </c>
      <c r="Y23" s="175"/>
      <c r="Z23" s="175"/>
      <c r="AA23" s="176"/>
      <c r="AB23" s="174"/>
      <c r="AC23" s="174"/>
      <c r="AD23" s="174"/>
      <c r="AE23" s="179"/>
      <c r="AF23" s="171"/>
      <c r="AG23" s="171"/>
      <c r="AH23" s="171"/>
      <c r="AI23" s="171"/>
      <c r="AJ23" s="171"/>
      <c r="AK23" s="171"/>
      <c r="AL23" s="171"/>
      <c r="AM23" s="171"/>
      <c r="AN23" s="171"/>
      <c r="AO23" s="171"/>
      <c r="AP23" s="171"/>
      <c r="AQ23" s="171"/>
      <c r="AR23" s="171"/>
      <c r="AS23" s="171"/>
      <c r="AT23" s="171"/>
      <c r="AU23" s="171"/>
      <c r="AV23" s="171"/>
      <c r="AW23" s="171"/>
      <c r="AX23" s="171"/>
      <c r="AY23" s="171"/>
      <c r="AZ23" s="171"/>
      <c r="BA23" s="171"/>
      <c r="BB23" s="171"/>
      <c r="BC23" s="171"/>
      <c r="BD23" s="180"/>
      <c r="BE23" s="188"/>
      <c r="BF23" s="188"/>
      <c r="BG23" s="188"/>
      <c r="BH23" s="188"/>
      <c r="BI23" s="188"/>
      <c r="BJ23" s="188"/>
      <c r="BK23" s="188"/>
      <c r="BL23" s="188"/>
      <c r="BM23" s="188"/>
      <c r="BN23" s="188"/>
      <c r="BO23" s="188"/>
      <c r="BP23" s="188"/>
      <c r="BQ23" s="188"/>
      <c r="BR23" s="188"/>
      <c r="BS23" s="188"/>
      <c r="BT23" s="188"/>
      <c r="BU23" s="188"/>
      <c r="BV23" s="188"/>
      <c r="BW23" s="188"/>
      <c r="BX23" s="188"/>
      <c r="BY23" s="188"/>
      <c r="BZ23" s="188"/>
      <c r="CA23" s="188"/>
      <c r="CB23" s="188"/>
      <c r="CC23" s="188"/>
      <c r="CD23" s="188"/>
      <c r="CE23" s="188"/>
      <c r="CF23" s="188"/>
      <c r="CG23" s="188"/>
      <c r="CH23" s="188"/>
      <c r="CI23" s="188"/>
      <c r="CJ23" s="188"/>
      <c r="CK23" s="188"/>
      <c r="CL23" s="188"/>
      <c r="CM23" s="188"/>
      <c r="CN23" s="188"/>
      <c r="CO23" s="188"/>
      <c r="CP23" s="188"/>
      <c r="CQ23" s="188"/>
      <c r="CR23" s="188"/>
      <c r="CS23" s="188"/>
      <c r="CT23" s="188"/>
      <c r="CU23" s="188"/>
      <c r="CV23" s="188"/>
      <c r="CW23" s="188"/>
      <c r="CX23" s="188"/>
      <c r="CY23" s="188"/>
      <c r="CZ23" s="188"/>
      <c r="DA23" s="188"/>
      <c r="DB23" s="188"/>
      <c r="DC23" s="188"/>
      <c r="DD23" s="188"/>
      <c r="DE23" s="188"/>
      <c r="DF23" s="188"/>
      <c r="DG23" s="188"/>
      <c r="DH23" s="188"/>
      <c r="DI23" s="188"/>
      <c r="DJ23" s="188"/>
      <c r="DK23" s="188"/>
      <c r="DL23" s="188"/>
      <c r="DM23" s="188"/>
      <c r="DN23" s="188"/>
      <c r="DO23" s="188"/>
      <c r="DP23" s="188"/>
      <c r="DQ23" s="188"/>
      <c r="DR23" s="188"/>
      <c r="DS23" s="188"/>
      <c r="DT23" s="188"/>
      <c r="DU23" s="188"/>
      <c r="DV23" s="188"/>
      <c r="DW23" s="188"/>
      <c r="DX23" s="188"/>
      <c r="DY23" s="188"/>
      <c r="DZ23" s="188"/>
      <c r="EA23" s="188"/>
      <c r="EB23" s="188"/>
      <c r="EC23" s="188"/>
      <c r="ED23" s="188"/>
      <c r="EE23" s="188"/>
      <c r="EF23" s="188"/>
      <c r="EG23" s="188"/>
      <c r="EH23" s="188"/>
      <c r="EI23" s="188"/>
      <c r="EJ23" s="188"/>
      <c r="EK23" s="188"/>
      <c r="EL23" s="188"/>
      <c r="EM23" s="188"/>
      <c r="EN23" s="188"/>
      <c r="EO23" s="188"/>
      <c r="EP23" s="188"/>
      <c r="EQ23" s="188"/>
      <c r="ER23" s="188"/>
      <c r="ES23" s="188"/>
      <c r="ET23" s="188"/>
      <c r="EU23" s="188"/>
      <c r="EV23" s="188"/>
      <c r="EW23" s="188"/>
      <c r="EX23" s="188"/>
      <c r="EY23" s="188"/>
      <c r="EZ23" s="188"/>
      <c r="FA23" s="188"/>
      <c r="FB23" s="188"/>
      <c r="FC23" s="188"/>
      <c r="FD23" s="188"/>
      <c r="FE23" s="188"/>
      <c r="FF23" s="188"/>
      <c r="FG23" s="188"/>
      <c r="FH23" s="188"/>
      <c r="FI23" s="188"/>
      <c r="FJ23" s="188"/>
      <c r="FK23" s="188"/>
      <c r="FL23" s="188"/>
      <c r="FM23" s="188"/>
      <c r="FN23" s="188"/>
      <c r="FO23" s="188"/>
      <c r="FP23" s="188"/>
      <c r="FQ23" s="188"/>
      <c r="FR23" s="188"/>
      <c r="FS23" s="188"/>
      <c r="FT23" s="188"/>
      <c r="FU23" s="188"/>
      <c r="FV23" s="188"/>
      <c r="FW23" s="188"/>
      <c r="FX23" s="188"/>
      <c r="FY23" s="188"/>
      <c r="FZ23" s="188"/>
      <c r="GA23" s="188"/>
      <c r="GB23" s="188"/>
      <c r="GC23" s="188"/>
      <c r="GD23" s="188"/>
      <c r="GE23" s="188"/>
      <c r="GF23" s="188"/>
      <c r="GG23" s="188"/>
      <c r="GH23" s="188"/>
      <c r="GI23" s="188"/>
      <c r="GJ23" s="188"/>
      <c r="GK23" s="188"/>
      <c r="GL23" s="188"/>
      <c r="GM23" s="188"/>
      <c r="GN23" s="188"/>
      <c r="GO23" s="188"/>
      <c r="GP23" s="188"/>
      <c r="GQ23" s="188"/>
      <c r="GR23" s="188"/>
      <c r="GS23" s="188"/>
      <c r="GT23" s="188"/>
      <c r="GU23" s="188"/>
      <c r="GV23" s="188"/>
      <c r="GW23" s="188"/>
      <c r="GX23" s="188"/>
      <c r="GY23" s="188"/>
      <c r="GZ23" s="188"/>
      <c r="HA23" s="188"/>
      <c r="HB23" s="188"/>
      <c r="HC23" s="188"/>
      <c r="HD23" s="188"/>
      <c r="HE23" s="188"/>
      <c r="HF23" s="188"/>
      <c r="HG23" s="188"/>
      <c r="HH23" s="188"/>
      <c r="HI23" s="188"/>
      <c r="HJ23" s="188"/>
      <c r="HK23" s="188"/>
      <c r="HL23" s="188"/>
      <c r="HM23" s="188"/>
      <c r="HN23" s="188"/>
      <c r="HO23" s="188"/>
      <c r="HP23" s="188"/>
      <c r="HQ23" s="188"/>
      <c r="HR23" s="188"/>
      <c r="HS23" s="188"/>
      <c r="HT23" s="188"/>
      <c r="HU23" s="188"/>
      <c r="HV23" s="188"/>
      <c r="HW23" s="188"/>
      <c r="HX23" s="188"/>
      <c r="HY23" s="188"/>
      <c r="HZ23" s="188"/>
      <c r="IA23" s="188"/>
      <c r="IB23" s="188"/>
      <c r="IC23" s="188"/>
      <c r="ID23" s="188"/>
      <c r="IE23" s="188"/>
      <c r="IF23" s="188"/>
      <c r="IG23" s="188"/>
      <c r="IH23" s="188"/>
      <c r="II23" s="188"/>
      <c r="IJ23" s="188"/>
      <c r="IK23" s="188"/>
      <c r="IL23" s="188"/>
      <c r="IM23" s="188"/>
      <c r="IN23" s="188"/>
      <c r="IO23" s="188"/>
      <c r="IP23" s="188"/>
      <c r="IQ23" s="188"/>
      <c r="IR23" s="188"/>
      <c r="IS23" s="188"/>
      <c r="IT23" s="188"/>
      <c r="IU23" s="188"/>
      <c r="IV23" s="188"/>
      <c r="IW23" s="188"/>
      <c r="IX23" s="188"/>
      <c r="IY23" s="188"/>
      <c r="IZ23" s="188"/>
      <c r="JA23" s="188"/>
      <c r="JB23" s="188"/>
      <c r="JC23" s="188"/>
      <c r="JD23" s="188"/>
      <c r="JE23" s="188"/>
      <c r="JF23" s="188"/>
      <c r="JG23" s="188"/>
      <c r="JH23" s="188"/>
      <c r="JI23" s="188"/>
      <c r="JJ23" s="188"/>
      <c r="JK23" s="188"/>
      <c r="JL23" s="188"/>
      <c r="JM23" s="188"/>
      <c r="JN23" s="188"/>
      <c r="JO23" s="188"/>
      <c r="JP23" s="188"/>
      <c r="JQ23" s="188"/>
      <c r="JR23" s="188"/>
      <c r="JS23" s="188"/>
      <c r="JT23" s="188"/>
      <c r="JU23" s="188"/>
      <c r="JV23" s="188"/>
      <c r="JW23" s="188"/>
      <c r="JX23" s="188"/>
      <c r="JY23" s="188"/>
      <c r="JZ23" s="188"/>
      <c r="KA23" s="188"/>
      <c r="KB23" s="188"/>
      <c r="KC23" s="188"/>
      <c r="KD23" s="188"/>
      <c r="KE23" s="188"/>
      <c r="KF23" s="188"/>
      <c r="KG23" s="188"/>
      <c r="KH23" s="188"/>
      <c r="KI23" s="188"/>
      <c r="KJ23" s="188"/>
      <c r="KK23" s="149"/>
      <c r="KL23"/>
      <c r="KM23"/>
      <c r="KN23"/>
      <c r="KO23"/>
      <c r="KP23"/>
      <c r="KQ23"/>
      <c r="KR23"/>
      <c r="KS23"/>
      <c r="KT23"/>
    </row>
    <row r="24" spans="1:306" s="181" customFormat="1" ht="18" customHeight="1">
      <c r="A24" s="153" t="s">
        <v>167</v>
      </c>
      <c r="B24" s="153">
        <v>16</v>
      </c>
      <c r="C24" s="153"/>
      <c r="D24" s="153"/>
      <c r="E24" s="153"/>
      <c r="F24" s="153"/>
      <c r="G24" s="153">
        <v>1</v>
      </c>
      <c r="H24" s="187"/>
      <c r="I24" s="190" t="s">
        <v>169</v>
      </c>
      <c r="J24" s="170" t="s">
        <v>317</v>
      </c>
      <c r="K24" s="213" t="s">
        <v>316</v>
      </c>
      <c r="L24" s="172" t="s">
        <v>168</v>
      </c>
      <c r="M24" s="173" t="s">
        <v>56</v>
      </c>
      <c r="N24" s="171" t="s">
        <v>319</v>
      </c>
      <c r="O24" s="174"/>
      <c r="P24" s="175"/>
      <c r="Q24" s="175"/>
      <c r="R24" s="176"/>
      <c r="S24" s="175">
        <v>44687.541666666664</v>
      </c>
      <c r="T24" s="175">
        <v>44687.75</v>
      </c>
      <c r="U24" s="193">
        <v>5</v>
      </c>
      <c r="V24" s="171"/>
      <c r="W24" s="177">
        <v>100</v>
      </c>
      <c r="X24" s="178">
        <v>1</v>
      </c>
      <c r="Y24" s="175"/>
      <c r="Z24" s="175"/>
      <c r="AA24" s="176"/>
      <c r="AB24" s="174"/>
      <c r="AC24" s="174"/>
      <c r="AD24" s="174"/>
      <c r="AE24" s="179"/>
      <c r="AF24" s="171"/>
      <c r="AG24" s="171"/>
      <c r="AH24" s="171"/>
      <c r="AI24" s="171"/>
      <c r="AJ24" s="171"/>
      <c r="AK24" s="171"/>
      <c r="AL24" s="171"/>
      <c r="AM24" s="171"/>
      <c r="AN24" s="171"/>
      <c r="AO24" s="171"/>
      <c r="AP24" s="171"/>
      <c r="AQ24" s="171"/>
      <c r="AR24" s="171"/>
      <c r="AS24" s="171"/>
      <c r="AT24" s="171"/>
      <c r="AU24" s="171"/>
      <c r="AV24" s="171"/>
      <c r="AW24" s="171"/>
      <c r="AX24" s="171"/>
      <c r="AY24" s="171"/>
      <c r="AZ24" s="171"/>
      <c r="BA24" s="171"/>
      <c r="BB24" s="171"/>
      <c r="BC24" s="171"/>
      <c r="BD24" s="180"/>
      <c r="BE24" s="188"/>
      <c r="BF24" s="188"/>
      <c r="BG24" s="188"/>
      <c r="BH24" s="188"/>
      <c r="BI24" s="188"/>
      <c r="BJ24" s="188"/>
      <c r="BK24" s="188"/>
      <c r="BL24" s="188"/>
      <c r="BM24" s="188"/>
      <c r="BN24" s="188"/>
      <c r="BO24" s="188"/>
      <c r="BP24" s="188"/>
      <c r="BQ24" s="188"/>
      <c r="BR24" s="188"/>
      <c r="BS24" s="188"/>
      <c r="BT24" s="188"/>
      <c r="BU24" s="188"/>
      <c r="BV24" s="188"/>
      <c r="BW24" s="188"/>
      <c r="BX24" s="188"/>
      <c r="BY24" s="188"/>
      <c r="BZ24" s="188"/>
      <c r="CA24" s="188"/>
      <c r="CB24" s="188"/>
      <c r="CC24" s="188"/>
      <c r="CD24" s="188"/>
      <c r="CE24" s="188"/>
      <c r="CF24" s="188"/>
      <c r="CG24" s="188"/>
      <c r="CH24" s="188"/>
      <c r="CI24" s="188"/>
      <c r="CJ24" s="188"/>
      <c r="CK24" s="188"/>
      <c r="CL24" s="188"/>
      <c r="CM24" s="188"/>
      <c r="CN24" s="188"/>
      <c r="CO24" s="188"/>
      <c r="CP24" s="188"/>
      <c r="CQ24" s="188"/>
      <c r="CR24" s="188"/>
      <c r="CS24" s="188"/>
      <c r="CT24" s="188"/>
      <c r="CU24" s="188"/>
      <c r="CV24" s="188"/>
      <c r="CW24" s="188"/>
      <c r="CX24" s="188"/>
      <c r="CY24" s="188"/>
      <c r="CZ24" s="188"/>
      <c r="DA24" s="188"/>
      <c r="DB24" s="188"/>
      <c r="DC24" s="188"/>
      <c r="DD24" s="188"/>
      <c r="DE24" s="188"/>
      <c r="DF24" s="188"/>
      <c r="DG24" s="188"/>
      <c r="DH24" s="188"/>
      <c r="DI24" s="188"/>
      <c r="DJ24" s="188"/>
      <c r="DK24" s="188"/>
      <c r="DL24" s="188"/>
      <c r="DM24" s="188"/>
      <c r="DN24" s="188"/>
      <c r="DO24" s="188"/>
      <c r="DP24" s="188"/>
      <c r="DQ24" s="188"/>
      <c r="DR24" s="188"/>
      <c r="DS24" s="188"/>
      <c r="DT24" s="188"/>
      <c r="DU24" s="188"/>
      <c r="DV24" s="188"/>
      <c r="DW24" s="188"/>
      <c r="DX24" s="188"/>
      <c r="DY24" s="188"/>
      <c r="DZ24" s="188"/>
      <c r="EA24" s="188"/>
      <c r="EB24" s="188"/>
      <c r="EC24" s="188"/>
      <c r="ED24" s="188"/>
      <c r="EE24" s="188"/>
      <c r="EF24" s="188"/>
      <c r="EG24" s="188"/>
      <c r="EH24" s="188"/>
      <c r="EI24" s="188"/>
      <c r="EJ24" s="188"/>
      <c r="EK24" s="188"/>
      <c r="EL24" s="188"/>
      <c r="EM24" s="188"/>
      <c r="EN24" s="188"/>
      <c r="EO24" s="188"/>
      <c r="EP24" s="188"/>
      <c r="EQ24" s="188"/>
      <c r="ER24" s="188"/>
      <c r="ES24" s="188"/>
      <c r="ET24" s="188"/>
      <c r="EU24" s="188"/>
      <c r="EV24" s="188"/>
      <c r="EW24" s="188"/>
      <c r="EX24" s="188"/>
      <c r="EY24" s="188"/>
      <c r="EZ24" s="188"/>
      <c r="FA24" s="188"/>
      <c r="FB24" s="188"/>
      <c r="FC24" s="188"/>
      <c r="FD24" s="188"/>
      <c r="FE24" s="188"/>
      <c r="FF24" s="188"/>
      <c r="FG24" s="188"/>
      <c r="FH24" s="188"/>
      <c r="FI24" s="188"/>
      <c r="FJ24" s="188"/>
      <c r="FK24" s="188"/>
      <c r="FL24" s="188"/>
      <c r="FM24" s="188"/>
      <c r="FN24" s="188"/>
      <c r="FO24" s="188"/>
      <c r="FP24" s="188"/>
      <c r="FQ24" s="188"/>
      <c r="FR24" s="188"/>
      <c r="FS24" s="188"/>
      <c r="FT24" s="188"/>
      <c r="FU24" s="260"/>
      <c r="FV24" s="260"/>
      <c r="FW24" s="260"/>
      <c r="FX24" s="260"/>
      <c r="FY24" s="260"/>
      <c r="FZ24" s="260"/>
      <c r="GA24" s="260"/>
      <c r="GB24" s="260"/>
      <c r="GC24" s="260"/>
      <c r="GD24" s="260"/>
      <c r="GE24" s="260"/>
      <c r="GF24" s="260"/>
      <c r="GG24" s="260"/>
      <c r="GH24" s="260"/>
      <c r="GI24" s="260"/>
      <c r="GJ24" s="260"/>
      <c r="GK24" s="260"/>
      <c r="GL24" s="260"/>
      <c r="GM24" s="260"/>
      <c r="GN24" s="260"/>
      <c r="GO24" s="260"/>
      <c r="GP24" s="260"/>
      <c r="GQ24" s="260"/>
      <c r="GR24" s="260"/>
      <c r="GS24" s="260"/>
      <c r="GT24" s="260"/>
      <c r="GU24" s="260"/>
      <c r="GV24" s="260"/>
      <c r="GW24" s="260"/>
      <c r="GX24" s="260"/>
      <c r="GY24" s="260"/>
      <c r="GZ24" s="260"/>
      <c r="HA24" s="260"/>
      <c r="HB24" s="260"/>
      <c r="HC24" s="260"/>
      <c r="HD24" s="260"/>
      <c r="HE24" s="260"/>
      <c r="HF24" s="260"/>
      <c r="HG24" s="260"/>
      <c r="HH24" s="260"/>
      <c r="HI24" s="260"/>
      <c r="HJ24" s="260"/>
      <c r="HK24" s="260"/>
      <c r="HL24" s="260"/>
      <c r="HM24" s="260"/>
      <c r="HN24" s="260"/>
      <c r="HO24" s="260"/>
      <c r="HP24" s="260"/>
      <c r="HQ24" s="188"/>
      <c r="HR24" s="188"/>
      <c r="HS24" s="188"/>
      <c r="HT24" s="188"/>
      <c r="HU24" s="188"/>
      <c r="HV24" s="188"/>
      <c r="HW24" s="188"/>
      <c r="HX24" s="188"/>
      <c r="HY24" s="188"/>
      <c r="HZ24" s="188"/>
      <c r="IA24" s="188"/>
      <c r="IB24" s="188"/>
      <c r="IC24" s="188"/>
      <c r="ID24" s="188"/>
      <c r="IE24" s="188"/>
      <c r="IF24" s="188"/>
      <c r="IG24" s="188"/>
      <c r="IH24" s="188"/>
      <c r="II24" s="188"/>
      <c r="IJ24" s="188"/>
      <c r="IK24" s="188"/>
      <c r="IL24" s="188"/>
      <c r="IM24" s="188"/>
      <c r="IN24" s="188"/>
      <c r="IO24" s="188"/>
      <c r="IP24" s="188"/>
      <c r="IQ24" s="188"/>
      <c r="IR24" s="188"/>
      <c r="IS24" s="188"/>
      <c r="IT24" s="188"/>
      <c r="IU24" s="188"/>
      <c r="IV24" s="188"/>
      <c r="IW24" s="188"/>
      <c r="IX24" s="188"/>
      <c r="IY24" s="188"/>
      <c r="IZ24" s="188"/>
      <c r="JA24" s="188"/>
      <c r="JB24" s="188"/>
      <c r="JC24" s="188"/>
      <c r="JD24" s="188"/>
      <c r="JE24" s="188"/>
      <c r="JF24" s="188"/>
      <c r="JG24" s="188"/>
      <c r="JH24" s="188"/>
      <c r="JI24" s="188"/>
      <c r="JJ24" s="188"/>
      <c r="JK24" s="188"/>
      <c r="JL24" s="188"/>
      <c r="JM24" s="188"/>
      <c r="JN24" s="188"/>
      <c r="JO24" s="188"/>
      <c r="JP24" s="188"/>
      <c r="JQ24" s="188"/>
      <c r="JR24" s="188"/>
      <c r="JS24" s="188"/>
      <c r="JT24" s="188"/>
      <c r="JU24" s="188"/>
      <c r="JV24" s="188"/>
      <c r="JW24" s="188"/>
      <c r="JX24" s="188"/>
      <c r="JY24" s="188"/>
      <c r="JZ24" s="188"/>
      <c r="KA24" s="188"/>
      <c r="KB24" s="188"/>
      <c r="KC24" s="188"/>
      <c r="KD24" s="188"/>
      <c r="KE24" s="188"/>
      <c r="KF24" s="188"/>
      <c r="KG24" s="188"/>
      <c r="KH24" s="188"/>
      <c r="KI24" s="188"/>
      <c r="KJ24" s="188"/>
      <c r="KK24" s="149"/>
      <c r="KL24"/>
      <c r="KM24"/>
      <c r="KN24"/>
      <c r="KO24"/>
      <c r="KP24"/>
      <c r="KQ24"/>
      <c r="KR24"/>
      <c r="KS24"/>
      <c r="KT24"/>
    </row>
    <row r="25" spans="1:306" s="76" customFormat="1" ht="15.6">
      <c r="A25" s="153"/>
      <c r="B25" s="153"/>
      <c r="C25" s="153"/>
      <c r="D25" s="153"/>
      <c r="E25" s="153"/>
      <c r="F25" s="153"/>
      <c r="G25" s="153"/>
      <c r="H25" s="249"/>
      <c r="I25" s="249"/>
      <c r="J25" s="250"/>
      <c r="K25" s="251" t="s">
        <v>283</v>
      </c>
      <c r="L25" s="252"/>
      <c r="M25" s="249"/>
      <c r="N25" s="253"/>
      <c r="O25" s="254"/>
      <c r="P25" s="255"/>
      <c r="Q25" s="255"/>
      <c r="R25" s="254"/>
      <c r="S25" s="255"/>
      <c r="T25" s="255"/>
      <c r="U25" s="256"/>
      <c r="V25" s="249"/>
      <c r="W25" s="249"/>
      <c r="X25" s="257"/>
      <c r="Y25" s="255"/>
      <c r="Z25" s="255"/>
      <c r="AA25" s="254"/>
      <c r="AB25" s="254"/>
      <c r="AC25" s="254"/>
      <c r="AD25" s="254"/>
      <c r="AE25" s="258"/>
      <c r="AF25" s="249"/>
      <c r="AG25" s="249"/>
      <c r="AH25" s="249"/>
      <c r="AI25" s="249"/>
      <c r="AJ25" s="249"/>
      <c r="AK25" s="249"/>
      <c r="AL25" s="249"/>
      <c r="AM25" s="249"/>
      <c r="AN25" s="249"/>
      <c r="AO25" s="249"/>
      <c r="AP25" s="249"/>
      <c r="AQ25" s="249"/>
      <c r="AR25" s="249"/>
      <c r="AS25" s="249"/>
      <c r="AT25" s="249"/>
      <c r="AU25" s="249"/>
      <c r="AV25" s="249"/>
      <c r="AW25" s="249"/>
      <c r="AX25" s="249"/>
      <c r="AY25" s="249"/>
      <c r="AZ25" s="249"/>
      <c r="BA25" s="249"/>
      <c r="BB25" s="249"/>
      <c r="BC25" s="249"/>
      <c r="BD25" s="249"/>
      <c r="BE25" s="259"/>
      <c r="BF25" s="259"/>
      <c r="BG25" s="259"/>
      <c r="BH25" s="259"/>
      <c r="BI25" s="259"/>
      <c r="BJ25" s="259"/>
      <c r="BK25" s="259"/>
      <c r="BL25" s="259"/>
      <c r="BM25" s="259"/>
      <c r="BN25" s="259"/>
      <c r="BO25" s="259"/>
      <c r="BP25" s="259"/>
      <c r="BQ25" s="259"/>
      <c r="BR25" s="259"/>
      <c r="BS25" s="259"/>
      <c r="BT25" s="259"/>
      <c r="BU25" s="259"/>
      <c r="BV25" s="259"/>
      <c r="BW25" s="259"/>
      <c r="BX25" s="259"/>
      <c r="BY25" s="259"/>
      <c r="BZ25" s="259"/>
      <c r="CA25" s="259"/>
      <c r="CB25" s="259"/>
      <c r="CC25" s="259"/>
      <c r="CD25" s="259"/>
      <c r="CE25" s="259"/>
      <c r="CF25" s="259"/>
      <c r="CG25" s="259"/>
      <c r="CH25" s="259"/>
      <c r="CI25" s="259"/>
      <c r="CJ25" s="259"/>
      <c r="CK25" s="259"/>
      <c r="CL25" s="259"/>
      <c r="CM25" s="259"/>
      <c r="CN25" s="259"/>
      <c r="CO25" s="259"/>
      <c r="CP25" s="259"/>
      <c r="CQ25" s="259"/>
      <c r="CR25" s="259"/>
      <c r="CS25" s="259"/>
      <c r="CT25" s="259"/>
      <c r="CU25" s="259"/>
      <c r="CV25" s="259"/>
      <c r="CW25" s="259"/>
      <c r="CX25" s="259"/>
      <c r="CY25" s="259"/>
      <c r="CZ25" s="259"/>
      <c r="DA25" s="259"/>
      <c r="DB25" s="259"/>
      <c r="DC25" s="259"/>
      <c r="DD25" s="259"/>
      <c r="DE25" s="259"/>
      <c r="DF25" s="259"/>
      <c r="DG25" s="259"/>
      <c r="DH25" s="259"/>
      <c r="DI25" s="259"/>
      <c r="DJ25" s="259"/>
      <c r="DK25" s="259"/>
      <c r="DL25" s="259"/>
      <c r="DM25" s="259"/>
      <c r="DN25" s="259"/>
      <c r="DO25" s="259"/>
      <c r="DP25" s="259"/>
      <c r="DQ25" s="259"/>
      <c r="DR25" s="259"/>
      <c r="DS25" s="259"/>
      <c r="DT25" s="259"/>
      <c r="DU25" s="259"/>
      <c r="DV25" s="259"/>
      <c r="DW25" s="259"/>
      <c r="DX25" s="259"/>
      <c r="DY25" s="259"/>
      <c r="DZ25" s="259"/>
      <c r="EA25" s="259"/>
      <c r="EB25" s="259"/>
      <c r="EC25" s="259"/>
      <c r="ED25" s="259"/>
      <c r="EE25" s="259"/>
      <c r="EF25" s="259"/>
      <c r="EG25" s="259"/>
      <c r="EH25" s="259"/>
      <c r="EI25" s="259"/>
      <c r="EJ25" s="259"/>
      <c r="EK25" s="259"/>
      <c r="EL25" s="259"/>
      <c r="EM25" s="259"/>
      <c r="EN25" s="259"/>
      <c r="EO25" s="259"/>
      <c r="EP25" s="259"/>
      <c r="EQ25" s="259"/>
      <c r="ER25" s="259"/>
      <c r="ES25" s="259"/>
      <c r="ET25" s="259"/>
      <c r="EU25" s="259"/>
      <c r="EV25" s="259"/>
      <c r="EW25" s="259"/>
      <c r="EX25" s="259"/>
      <c r="EY25" s="259"/>
      <c r="EZ25" s="259"/>
      <c r="FA25" s="259"/>
      <c r="FB25" s="259"/>
      <c r="FC25" s="259"/>
      <c r="FD25" s="259"/>
      <c r="FE25" s="259"/>
      <c r="FF25" s="259"/>
      <c r="FG25" s="259"/>
      <c r="FH25" s="259"/>
      <c r="FI25" s="259"/>
      <c r="FJ25" s="259"/>
      <c r="FK25" s="259"/>
      <c r="FL25" s="259"/>
      <c r="FM25" s="259"/>
      <c r="FN25" s="259"/>
      <c r="FO25" s="259"/>
      <c r="FP25" s="259"/>
      <c r="FQ25" s="259"/>
      <c r="FR25" s="259"/>
      <c r="FS25" s="259"/>
      <c r="FT25" s="259"/>
      <c r="FU25" s="259"/>
      <c r="FV25" s="259"/>
      <c r="FW25" s="259"/>
      <c r="FX25" s="259"/>
      <c r="FY25" s="259"/>
      <c r="FZ25" s="259"/>
      <c r="GA25" s="259"/>
      <c r="GB25" s="259"/>
      <c r="GC25" s="259"/>
      <c r="GD25" s="259"/>
      <c r="GE25" s="259"/>
      <c r="GF25" s="259"/>
      <c r="GG25" s="259"/>
      <c r="GH25" s="259"/>
      <c r="GI25" s="259"/>
      <c r="GJ25" s="259"/>
      <c r="GK25" s="259"/>
      <c r="GL25" s="259"/>
      <c r="GM25" s="259"/>
      <c r="GN25" s="259"/>
      <c r="GO25" s="259"/>
      <c r="GP25" s="259"/>
      <c r="GQ25" s="259"/>
      <c r="GR25" s="259"/>
      <c r="GS25" s="259"/>
      <c r="GT25" s="259"/>
      <c r="GU25" s="259"/>
      <c r="GV25" s="259"/>
      <c r="GW25" s="259"/>
      <c r="GX25" s="259"/>
      <c r="GY25" s="259"/>
      <c r="GZ25" s="259"/>
      <c r="HA25" s="259"/>
      <c r="HB25" s="259"/>
      <c r="HC25" s="259"/>
      <c r="HD25" s="259"/>
      <c r="HE25" s="259"/>
      <c r="HF25" s="259"/>
      <c r="HG25" s="259"/>
      <c r="HH25" s="259"/>
      <c r="HI25" s="259"/>
      <c r="HJ25" s="259"/>
      <c r="HK25" s="259"/>
      <c r="HL25" s="259"/>
      <c r="HM25" s="259"/>
      <c r="HN25" s="259"/>
      <c r="HO25" s="259"/>
      <c r="HP25" s="259"/>
      <c r="HQ25" s="259"/>
      <c r="HR25" s="259"/>
      <c r="HS25" s="259"/>
      <c r="HT25" s="259"/>
      <c r="HU25" s="259"/>
      <c r="HV25" s="259"/>
      <c r="HW25" s="259"/>
      <c r="HX25" s="259"/>
      <c r="HY25" s="259"/>
      <c r="HZ25" s="259"/>
      <c r="IA25" s="259"/>
      <c r="IB25" s="259"/>
      <c r="IC25" s="259"/>
      <c r="ID25" s="259"/>
      <c r="IE25" s="259"/>
      <c r="IF25" s="259"/>
      <c r="IG25" s="259"/>
      <c r="IH25" s="259"/>
      <c r="II25" s="259"/>
      <c r="IJ25" s="259"/>
      <c r="IK25" s="259"/>
      <c r="IL25" s="259"/>
      <c r="IM25" s="259"/>
      <c r="IN25" s="259"/>
      <c r="IO25" s="259"/>
      <c r="IP25" s="259"/>
      <c r="IQ25" s="259"/>
      <c r="IR25" s="259"/>
      <c r="IS25" s="259"/>
      <c r="IT25" s="259"/>
      <c r="IU25" s="259"/>
      <c r="IV25" s="259"/>
      <c r="IW25" s="259"/>
      <c r="IX25" s="259"/>
      <c r="IY25" s="259"/>
      <c r="IZ25" s="259"/>
      <c r="JA25" s="259"/>
      <c r="JB25" s="259"/>
      <c r="JC25" s="259"/>
      <c r="JD25" s="259"/>
      <c r="JE25" s="259"/>
      <c r="JF25" s="259"/>
      <c r="JG25" s="259"/>
      <c r="JH25" s="259"/>
      <c r="JI25" s="259"/>
      <c r="JJ25" s="259"/>
      <c r="JK25" s="259"/>
      <c r="JL25" s="259"/>
      <c r="JM25" s="259"/>
      <c r="JN25" s="259"/>
      <c r="JO25" s="259"/>
      <c r="JP25" s="259"/>
      <c r="JQ25" s="259"/>
      <c r="JR25" s="259"/>
      <c r="JS25" s="259"/>
      <c r="JT25" s="259"/>
      <c r="JU25" s="259"/>
      <c r="JV25" s="259"/>
      <c r="JW25" s="259"/>
      <c r="JX25" s="259"/>
      <c r="JY25" s="259"/>
      <c r="JZ25" s="259"/>
      <c r="KA25" s="259"/>
      <c r="KB25" s="259"/>
      <c r="KC25" s="259"/>
      <c r="KD25" s="259"/>
      <c r="KE25" s="259"/>
      <c r="KF25" s="259"/>
      <c r="KG25" s="259"/>
      <c r="KH25" s="259"/>
      <c r="KI25" s="259"/>
      <c r="KJ25" s="259"/>
      <c r="KK25"/>
      <c r="KL25"/>
      <c r="KM25"/>
      <c r="KN25"/>
      <c r="KO25"/>
      <c r="KP25"/>
      <c r="KQ25"/>
      <c r="KR25"/>
      <c r="KS25"/>
      <c r="KT25"/>
    </row>
    <row r="26" spans="1:306" s="76" customFormat="1">
      <c r="A26" s="153"/>
      <c r="B26" s="153"/>
      <c r="C26" s="153"/>
      <c r="D26" s="153"/>
      <c r="E26" s="153"/>
      <c r="F26" s="153"/>
      <c r="G26" s="153"/>
      <c r="H26" s="153"/>
      <c r="I26" s="153"/>
      <c r="J26" s="154"/>
      <c r="K26" s="156"/>
      <c r="L26" s="155"/>
      <c r="M26" s="153"/>
      <c r="N26" s="156"/>
      <c r="O26" s="157"/>
      <c r="P26" s="158"/>
      <c r="Q26" s="158"/>
      <c r="R26" s="157"/>
      <c r="S26" s="158"/>
      <c r="T26" s="158"/>
      <c r="U26" s="157"/>
      <c r="V26" s="153"/>
      <c r="W26" s="153"/>
      <c r="X26" s="159"/>
      <c r="Y26" s="158"/>
      <c r="Z26" s="158"/>
      <c r="AA26" s="157"/>
      <c r="AB26" s="157"/>
      <c r="AC26" s="157"/>
      <c r="AD26" s="157"/>
      <c r="AE26" s="160"/>
      <c r="AF26" s="153"/>
      <c r="AG26" s="153"/>
      <c r="AH26" s="153"/>
      <c r="AI26" s="153"/>
      <c r="AJ26" s="153"/>
      <c r="AK26" s="153"/>
      <c r="AL26" s="153"/>
      <c r="AM26" s="153"/>
      <c r="AN26" s="153"/>
      <c r="AO26" s="153"/>
      <c r="AP26" s="153"/>
      <c r="AQ26" s="153"/>
      <c r="AR26" s="153"/>
      <c r="AS26" s="153"/>
      <c r="AT26" s="153"/>
      <c r="AU26" s="153"/>
      <c r="AV26" s="153"/>
      <c r="AW26" s="153"/>
      <c r="AX26" s="153"/>
      <c r="AY26" s="153"/>
      <c r="AZ26" s="153"/>
      <c r="BA26" s="153"/>
      <c r="BB26" s="153"/>
      <c r="BC26" s="153"/>
      <c r="BD26" s="153"/>
      <c r="BE26"/>
      <c r="BF26"/>
      <c r="BG26"/>
      <c r="BH26"/>
      <c r="BI26"/>
      <c r="BJ26"/>
      <c r="BK26"/>
      <c r="BL26"/>
      <c r="BM26"/>
      <c r="BN26"/>
      <c r="BO26"/>
      <c r="BP26"/>
      <c r="BQ26"/>
      <c r="BR26"/>
      <c r="BS26"/>
      <c r="BT26"/>
      <c r="BU26"/>
      <c r="BV26"/>
      <c r="BW26"/>
      <c r="BX26"/>
      <c r="BY26"/>
      <c r="BZ26"/>
      <c r="CA26"/>
      <c r="CB26"/>
      <c r="CC26"/>
      <c r="CD26"/>
      <c r="CE26"/>
      <c r="CF26"/>
      <c r="CG26"/>
      <c r="CH26"/>
      <c r="CI26"/>
      <c r="CJ26"/>
      <c r="CK26"/>
      <c r="CL26"/>
      <c r="CM26"/>
      <c r="CN26"/>
      <c r="CO26"/>
      <c r="CP26"/>
      <c r="CQ26"/>
      <c r="CR26"/>
      <c r="CS26"/>
      <c r="CT26"/>
      <c r="CU26"/>
      <c r="CV26"/>
      <c r="CW26"/>
    </row>
    <row r="27" spans="1:306" s="76" customFormat="1">
      <c r="A27" s="153"/>
      <c r="B27" s="153"/>
      <c r="C27" s="153"/>
      <c r="D27" s="153"/>
      <c r="E27" s="153"/>
      <c r="F27" s="153"/>
      <c r="G27" s="153"/>
      <c r="H27" s="153"/>
      <c r="I27" s="153"/>
      <c r="J27" s="154"/>
      <c r="K27" s="156"/>
      <c r="L27" s="155"/>
      <c r="M27" s="153"/>
      <c r="N27" s="156"/>
      <c r="O27" s="157"/>
      <c r="P27" s="157"/>
      <c r="Q27" s="157"/>
      <c r="R27" s="157"/>
      <c r="S27" s="157"/>
      <c r="T27" s="157"/>
      <c r="U27" s="157"/>
      <c r="V27" s="153"/>
      <c r="W27" s="153"/>
      <c r="X27" s="159"/>
      <c r="Y27" s="157"/>
      <c r="Z27" s="157"/>
      <c r="AA27" s="157"/>
      <c r="AB27" s="157"/>
      <c r="AC27" s="157"/>
      <c r="AD27" s="157"/>
      <c r="AE27" s="160"/>
      <c r="AF27" s="153"/>
      <c r="AG27" s="153"/>
      <c r="AH27" s="153"/>
      <c r="AI27" s="153"/>
      <c r="AJ27" s="153"/>
      <c r="AK27" s="153"/>
      <c r="AL27" s="153"/>
      <c r="AM27" s="153"/>
      <c r="AN27" s="153"/>
      <c r="AO27" s="153"/>
      <c r="AP27" s="153"/>
      <c r="AQ27" s="153"/>
      <c r="AR27" s="153"/>
      <c r="AS27" s="153"/>
      <c r="AT27" s="153"/>
      <c r="AU27" s="153"/>
      <c r="AV27" s="153"/>
      <c r="AW27" s="153"/>
      <c r="AX27" s="153"/>
      <c r="AY27" s="153"/>
      <c r="AZ27" s="153"/>
      <c r="BA27" s="153"/>
      <c r="BB27" s="153"/>
      <c r="BC27" s="153"/>
      <c r="BD27" s="153"/>
    </row>
    <row r="28" spans="1:306" s="76" customFormat="1">
      <c r="A28" s="153"/>
      <c r="B28" s="153"/>
      <c r="C28" s="153"/>
      <c r="D28" s="153"/>
      <c r="E28" s="153"/>
      <c r="F28" s="153"/>
      <c r="G28" s="153"/>
      <c r="H28" s="153"/>
      <c r="I28" s="153"/>
      <c r="J28" s="154"/>
      <c r="K28" s="156"/>
      <c r="L28" s="155"/>
      <c r="M28" s="153"/>
      <c r="N28" s="156"/>
      <c r="O28" s="157"/>
      <c r="P28" s="157"/>
      <c r="Q28" s="157"/>
      <c r="R28" s="157"/>
      <c r="S28" s="157"/>
      <c r="T28" s="157"/>
      <c r="U28" s="157"/>
      <c r="V28" s="153"/>
      <c r="W28" s="153"/>
      <c r="X28" s="159"/>
      <c r="Y28" s="157"/>
      <c r="Z28" s="157"/>
      <c r="AA28" s="157"/>
      <c r="AB28" s="157"/>
      <c r="AC28" s="157"/>
      <c r="AD28" s="157"/>
      <c r="AE28" s="160"/>
      <c r="AF28" s="153"/>
      <c r="AG28" s="153"/>
      <c r="AH28" s="153"/>
      <c r="AI28" s="153"/>
      <c r="AJ28" s="153"/>
      <c r="AK28" s="153"/>
      <c r="AL28" s="153"/>
      <c r="AM28" s="153"/>
      <c r="AN28" s="153"/>
      <c r="AO28" s="153"/>
      <c r="AP28" s="153"/>
      <c r="AQ28" s="153"/>
      <c r="AR28" s="153"/>
      <c r="AS28" s="153"/>
      <c r="AT28" s="153"/>
      <c r="AU28" s="153"/>
      <c r="AV28" s="153"/>
      <c r="AW28" s="153"/>
      <c r="AX28" s="153"/>
      <c r="AY28" s="153"/>
      <c r="AZ28" s="153"/>
      <c r="BA28" s="153"/>
      <c r="BB28" s="153"/>
      <c r="BC28" s="153"/>
      <c r="BD28" s="153"/>
    </row>
    <row r="29" spans="1:306" s="76" customFormat="1">
      <c r="A29" s="153"/>
      <c r="B29" s="153"/>
      <c r="C29" s="153"/>
      <c r="D29" s="153"/>
      <c r="E29" s="153"/>
      <c r="F29" s="153"/>
      <c r="G29" s="153"/>
      <c r="H29" s="153"/>
      <c r="I29" s="153"/>
      <c r="J29" s="154"/>
      <c r="K29" s="156"/>
      <c r="L29" s="155"/>
      <c r="M29" s="153"/>
      <c r="N29" s="156"/>
      <c r="O29" s="157"/>
      <c r="P29" s="157"/>
      <c r="Q29" s="157"/>
      <c r="R29" s="157"/>
      <c r="S29" s="157"/>
      <c r="T29" s="157"/>
      <c r="U29" s="157"/>
      <c r="V29" s="153"/>
      <c r="W29" s="153"/>
      <c r="X29" s="159"/>
      <c r="Y29" s="157"/>
      <c r="Z29" s="157"/>
      <c r="AA29" s="157"/>
      <c r="AB29" s="157"/>
      <c r="AC29" s="157"/>
      <c r="AD29" s="157"/>
      <c r="AE29" s="160"/>
      <c r="AF29" s="153"/>
      <c r="AG29" s="153"/>
      <c r="AH29" s="153"/>
      <c r="AI29" s="153"/>
      <c r="AJ29" s="153"/>
      <c r="AK29" s="153"/>
      <c r="AL29" s="153"/>
      <c r="AM29" s="153"/>
      <c r="AN29" s="153"/>
      <c r="AO29" s="153"/>
      <c r="AP29" s="153"/>
      <c r="AQ29" s="153"/>
      <c r="AR29" s="153"/>
      <c r="AS29" s="153"/>
      <c r="AT29" s="153"/>
      <c r="AU29" s="153"/>
      <c r="AV29" s="153"/>
      <c r="AW29" s="153"/>
      <c r="AX29" s="153"/>
      <c r="AY29" s="153"/>
      <c r="AZ29" s="153"/>
      <c r="BA29" s="153"/>
      <c r="BB29" s="153"/>
      <c r="BC29" s="153"/>
      <c r="BD29" s="153"/>
    </row>
    <row r="30" spans="1:306" s="76" customFormat="1">
      <c r="A30" s="153"/>
      <c r="B30" s="153"/>
      <c r="C30" s="153"/>
      <c r="D30" s="153"/>
      <c r="E30" s="153"/>
      <c r="F30" s="153"/>
      <c r="G30" s="153"/>
      <c r="H30" s="153"/>
      <c r="I30" s="153"/>
      <c r="J30" s="154"/>
      <c r="K30" s="156"/>
      <c r="L30" s="155"/>
      <c r="M30" s="153"/>
      <c r="N30" s="156"/>
      <c r="O30" s="157"/>
      <c r="P30" s="157"/>
      <c r="Q30" s="157"/>
      <c r="R30" s="157"/>
      <c r="S30" s="157"/>
      <c r="T30" s="157"/>
      <c r="U30" s="157"/>
      <c r="V30" s="153"/>
      <c r="W30" s="153"/>
      <c r="X30" s="159"/>
      <c r="Y30" s="157"/>
      <c r="Z30" s="157"/>
      <c r="AA30" s="157"/>
      <c r="AB30" s="157"/>
      <c r="AC30" s="157"/>
      <c r="AD30" s="157"/>
      <c r="AE30" s="160"/>
      <c r="AF30" s="153"/>
      <c r="AG30" s="153"/>
      <c r="AH30" s="153"/>
      <c r="AI30" s="153"/>
      <c r="AJ30" s="153"/>
      <c r="AK30" s="153"/>
      <c r="AL30" s="153"/>
      <c r="AM30" s="153"/>
      <c r="AN30" s="153"/>
      <c r="AO30" s="153"/>
      <c r="AP30" s="153"/>
      <c r="AQ30" s="153"/>
      <c r="AR30" s="153"/>
      <c r="AS30" s="153"/>
      <c r="AT30" s="153"/>
      <c r="AU30" s="153"/>
      <c r="AV30" s="153"/>
      <c r="AW30" s="153"/>
      <c r="AX30" s="153"/>
      <c r="AY30" s="153"/>
      <c r="AZ30" s="153"/>
      <c r="BA30" s="153"/>
      <c r="BB30" s="153"/>
      <c r="BC30" s="153"/>
      <c r="BD30" s="153"/>
    </row>
    <row r="31" spans="1:306" s="76" customFormat="1">
      <c r="A31" s="153"/>
      <c r="B31" s="153"/>
      <c r="C31" s="153"/>
      <c r="D31" s="153"/>
      <c r="E31" s="153"/>
      <c r="F31" s="153"/>
      <c r="G31" s="153"/>
      <c r="H31" s="153"/>
      <c r="I31" s="153"/>
      <c r="J31" s="154"/>
      <c r="K31" s="156"/>
      <c r="L31" s="155"/>
      <c r="M31" s="153"/>
      <c r="N31" s="156"/>
      <c r="O31" s="157"/>
      <c r="P31" s="157"/>
      <c r="Q31" s="157"/>
      <c r="R31" s="157"/>
      <c r="S31" s="157"/>
      <c r="T31" s="157"/>
      <c r="U31" s="157"/>
      <c r="V31" s="153"/>
      <c r="W31" s="153"/>
      <c r="X31" s="159"/>
      <c r="Y31" s="157"/>
      <c r="Z31" s="157"/>
      <c r="AA31" s="157"/>
      <c r="AB31" s="157"/>
      <c r="AC31" s="157"/>
      <c r="AD31" s="157"/>
      <c r="AE31" s="160"/>
      <c r="AF31" s="153"/>
      <c r="AG31" s="153"/>
      <c r="AH31" s="153"/>
      <c r="AI31" s="153"/>
      <c r="AJ31" s="153"/>
      <c r="AK31" s="153"/>
      <c r="AL31" s="153"/>
      <c r="AM31" s="153"/>
      <c r="AN31" s="153"/>
      <c r="AO31" s="153"/>
      <c r="AP31" s="153"/>
      <c r="AQ31" s="153"/>
      <c r="AR31" s="153"/>
      <c r="AS31" s="153"/>
      <c r="AT31" s="153"/>
      <c r="AU31" s="153"/>
      <c r="AV31" s="153"/>
      <c r="AW31" s="153"/>
      <c r="AX31" s="153"/>
      <c r="AY31" s="153"/>
      <c r="AZ31" s="153"/>
      <c r="BA31" s="153"/>
      <c r="BB31" s="153"/>
      <c r="BC31" s="153"/>
      <c r="BD31" s="153"/>
    </row>
    <row r="32" spans="1:306" s="76" customFormat="1">
      <c r="A32" s="153"/>
      <c r="B32" s="153"/>
      <c r="C32" s="153"/>
      <c r="D32" s="153"/>
      <c r="E32" s="153"/>
      <c r="F32" s="153"/>
      <c r="G32" s="153"/>
      <c r="H32" s="153"/>
      <c r="I32" s="153"/>
      <c r="J32" s="154"/>
      <c r="K32" s="156"/>
      <c r="L32" s="155"/>
      <c r="M32" s="153"/>
      <c r="N32" s="156"/>
      <c r="O32" s="157"/>
      <c r="P32" s="157"/>
      <c r="Q32" s="157"/>
      <c r="R32" s="157"/>
      <c r="S32" s="157"/>
      <c r="T32" s="157"/>
      <c r="U32" s="157"/>
      <c r="V32" s="153"/>
      <c r="W32" s="153"/>
      <c r="X32" s="159"/>
      <c r="Y32" s="157"/>
      <c r="Z32" s="157"/>
      <c r="AA32" s="157"/>
      <c r="AB32" s="157"/>
      <c r="AC32" s="157"/>
      <c r="AD32" s="157"/>
      <c r="AE32" s="160"/>
      <c r="AF32" s="153"/>
      <c r="AG32" s="153"/>
      <c r="AH32" s="153"/>
      <c r="AI32" s="153"/>
      <c r="AJ32" s="153"/>
      <c r="AK32" s="153"/>
      <c r="AL32" s="153"/>
      <c r="AM32" s="153"/>
      <c r="AN32" s="153"/>
      <c r="AO32" s="153"/>
      <c r="AP32" s="153"/>
      <c r="AQ32" s="153"/>
      <c r="AR32" s="153"/>
      <c r="AS32" s="153"/>
      <c r="AT32" s="153"/>
      <c r="AU32" s="153"/>
      <c r="AV32" s="153"/>
      <c r="AW32" s="153"/>
      <c r="AX32" s="153"/>
      <c r="AY32" s="153"/>
      <c r="AZ32" s="153"/>
      <c r="BA32" s="153"/>
      <c r="BB32" s="153"/>
      <c r="BC32" s="153"/>
      <c r="BD32" s="153"/>
    </row>
    <row r="33" spans="1:56" s="76" customFormat="1">
      <c r="A33" s="153"/>
      <c r="B33" s="153"/>
      <c r="C33" s="153"/>
      <c r="D33" s="153"/>
      <c r="E33" s="153"/>
      <c r="F33" s="153"/>
      <c r="G33" s="153"/>
      <c r="H33" s="153"/>
      <c r="I33" s="153"/>
      <c r="J33" s="154"/>
      <c r="K33" s="156"/>
      <c r="L33" s="155"/>
      <c r="M33" s="153"/>
      <c r="N33" s="156"/>
      <c r="O33" s="157"/>
      <c r="P33" s="157"/>
      <c r="Q33" s="157"/>
      <c r="R33" s="157"/>
      <c r="S33" s="157"/>
      <c r="T33" s="157"/>
      <c r="U33" s="157"/>
      <c r="V33" s="153"/>
      <c r="W33" s="153"/>
      <c r="X33" s="159"/>
      <c r="Y33" s="157"/>
      <c r="Z33" s="157"/>
      <c r="AA33" s="157"/>
      <c r="AB33" s="157"/>
      <c r="AC33" s="157"/>
      <c r="AD33" s="157"/>
      <c r="AE33" s="160"/>
      <c r="AF33" s="153"/>
      <c r="AG33" s="153"/>
      <c r="AH33" s="153"/>
      <c r="AI33" s="153"/>
      <c r="AJ33" s="153"/>
      <c r="AK33" s="153"/>
      <c r="AL33" s="153"/>
      <c r="AM33" s="153"/>
      <c r="AN33" s="153"/>
      <c r="AO33" s="153"/>
      <c r="AP33" s="153"/>
      <c r="AQ33" s="153"/>
      <c r="AR33" s="153"/>
      <c r="AS33" s="153"/>
      <c r="AT33" s="153"/>
      <c r="AU33" s="153"/>
      <c r="AV33" s="153"/>
      <c r="AW33" s="153"/>
      <c r="AX33" s="153"/>
      <c r="AY33" s="153"/>
      <c r="AZ33" s="153"/>
      <c r="BA33" s="153"/>
      <c r="BB33" s="153"/>
      <c r="BC33" s="153"/>
      <c r="BD33" s="153"/>
    </row>
    <row r="36" spans="1:56" s="76" customFormat="1">
      <c r="A36" s="153"/>
      <c r="B36" s="153"/>
      <c r="C36" s="153"/>
      <c r="D36" s="153"/>
      <c r="E36" s="153"/>
      <c r="F36" s="153"/>
      <c r="G36" s="153"/>
      <c r="H36" s="153"/>
      <c r="I36" s="153"/>
      <c r="J36" s="154"/>
      <c r="K36" s="156"/>
      <c r="L36" s="155"/>
      <c r="M36" s="153"/>
      <c r="N36" s="156"/>
      <c r="O36" s="157"/>
      <c r="P36" s="157"/>
      <c r="Q36" s="157"/>
      <c r="R36" s="157"/>
      <c r="S36" s="157"/>
      <c r="T36" s="157"/>
      <c r="U36" s="157"/>
      <c r="V36" s="153"/>
      <c r="W36" s="153"/>
      <c r="X36" s="159"/>
      <c r="Y36" s="157"/>
      <c r="Z36" s="157"/>
      <c r="AA36" s="157"/>
      <c r="AB36" s="157"/>
      <c r="AC36" s="157"/>
      <c r="AD36" s="157"/>
      <c r="AE36" s="160"/>
      <c r="AF36" s="153"/>
      <c r="AG36" s="153"/>
      <c r="AH36" s="153"/>
      <c r="AI36" s="153"/>
      <c r="AJ36" s="153"/>
      <c r="AK36" s="153"/>
      <c r="AL36" s="153"/>
      <c r="AM36" s="153"/>
      <c r="AN36" s="153"/>
      <c r="AO36" s="153"/>
      <c r="AP36" s="153"/>
      <c r="AQ36" s="153"/>
      <c r="AR36" s="153"/>
      <c r="AS36" s="153"/>
      <c r="AT36" s="153"/>
      <c r="AU36" s="153"/>
      <c r="AV36" s="153"/>
      <c r="AW36" s="153"/>
      <c r="AX36" s="153"/>
      <c r="AY36" s="153"/>
      <c r="AZ36" s="153"/>
      <c r="BA36" s="153"/>
      <c r="BB36" s="153"/>
      <c r="BC36" s="153"/>
      <c r="BD36" s="153"/>
    </row>
  </sheetData>
  <conditionalFormatting sqref="X10:X24">
    <cfRule type="dataBar" priority="2">
      <dataBar>
        <cfvo type="min"/>
        <cfvo type="max"/>
        <color rgb="FF6DD9FF"/>
      </dataBar>
      <extLst>
        <ext xmlns:x14="http://schemas.microsoft.com/office/spreadsheetml/2009/9/main" uri="{B025F937-C7B1-47D3-B67F-A62EFF666E3E}">
          <x14:id>{ABEDB71A-9293-4ED6-91F9-186DF6B7EB9D}</x14:id>
        </ext>
      </extLst>
    </cfRule>
  </conditionalFormatting>
  <pageMargins left="0.7" right="0.7" top="0.75" bottom="0.75" header="0.3" footer="0.3"/>
  <pageSetup orientation="portrait" r:id="rId1"/>
  <drawing r:id="rId2"/>
  <extLst>
    <ext xmlns:x14="http://schemas.microsoft.com/office/spreadsheetml/2009/9/main" uri="{78C0D931-6437-407d-A8EE-F0AAD7539E65}">
      <x14:conditionalFormattings>
        <x14:conditionalFormatting xmlns:xm="http://schemas.microsoft.com/office/excel/2006/main">
          <x14:cfRule type="dataBar" id="{ABEDB71A-9293-4ED6-91F9-186DF6B7EB9D}">
            <x14:dataBar minLength="0" maxLength="100" negativeBarColorSameAsPositive="1" axisPosition="none">
              <x14:cfvo type="autoMin"/>
              <x14:cfvo type="autoMax"/>
            </x14:dataBar>
          </x14:cfRule>
          <xm:sqref>X10:X24</xm:sqref>
        </x14:conditionalFormatting>
        <x14:conditionalFormatting xmlns:xm="http://schemas.microsoft.com/office/excel/2006/main">
          <x14:cfRule type="iconSet" priority="213" id="{CE88D35F-62B5-49B2-B283-6BAA60FF2613}">
            <x14:iconSet iconSet="3Symbols2" showValue="0" custom="1">
              <x14:cfvo type="percent">
                <xm:f>0</xm:f>
              </x14:cfvo>
              <x14:cfvo type="num">
                <xm:f>0</xm:f>
              </x14:cfvo>
              <x14:cfvo type="num">
                <xm:f>99</xm:f>
              </x14:cfvo>
              <x14:cfIcon iconSet="3Symbols2" iconId="0"/>
              <x14:cfIcon iconSet="NoIcons" iconId="0"/>
              <x14:cfIcon iconSet="3Symbols2" iconId="2"/>
            </x14:iconSet>
          </x14:cfRule>
          <xm:sqref>W25 W9</xm:sqref>
        </x14:conditionalFormatting>
        <x14:conditionalFormatting xmlns:xm="http://schemas.microsoft.com/office/excel/2006/main">
          <x14:cfRule type="iconSet" priority="1" id="{FFBDD1DE-271F-4A3E-8B45-45A073BC26CF}">
            <x14:iconSet iconSet="3Symbols2" showValue="0" custom="1">
              <x14:cfvo type="percent">
                <xm:f>0</xm:f>
              </x14:cfvo>
              <x14:cfvo type="num">
                <xm:f>0</xm:f>
              </x14:cfvo>
              <x14:cfvo type="num">
                <xm:f>99</xm:f>
              </x14:cfvo>
              <x14:cfIcon iconSet="3Symbols2" iconId="0"/>
              <x14:cfIcon iconSet="NoIcons" iconId="0"/>
              <x14:cfIcon iconSet="3Symbols2" iconId="2"/>
            </x14:iconSet>
          </x14:cfRule>
          <xm:sqref>W10:W24</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elp"/>
  <dimension ref="B2:VGB31"/>
  <sheetViews>
    <sheetView showGridLines="0" showRowColHeaders="0" zoomScaleNormal="100" workbookViewId="0">
      <selection activeCell="F4" sqref="F4"/>
    </sheetView>
  </sheetViews>
  <sheetFormatPr defaultColWidth="9.09765625" defaultRowHeight="13.8"/>
  <cols>
    <col min="1" max="1" width="9.09765625" style="76"/>
    <col min="2" max="2" width="1" style="76" customWidth="1"/>
    <col min="3" max="3" width="6.296875" style="76" customWidth="1"/>
    <col min="4" max="4" width="1.296875" style="76" customWidth="1"/>
    <col min="5" max="15" width="9.09765625" style="76" customWidth="1"/>
    <col min="16" max="16" width="9.296875" style="76" customWidth="1"/>
    <col min="17" max="18" width="9.09765625" style="76" customWidth="1"/>
    <col min="19" max="19" width="8.296875" style="76" customWidth="1"/>
    <col min="20" max="20" width="9.09765625" style="76" customWidth="1"/>
    <col min="21" max="21" width="9.296875" style="76" customWidth="1"/>
    <col min="22" max="22" width="2" style="76" customWidth="1"/>
    <col min="23" max="23" width="0.8984375" style="76" customWidth="1"/>
    <col min="24" max="16384" width="9.09765625" style="76"/>
  </cols>
  <sheetData>
    <row r="2" spans="2:23 15055:15056" ht="5.25" customHeight="1">
      <c r="B2" s="19"/>
      <c r="C2" s="19" t="s">
        <v>2</v>
      </c>
      <c r="D2" s="19"/>
      <c r="E2" s="19"/>
      <c r="F2" s="19"/>
      <c r="G2" s="19"/>
      <c r="H2" s="19"/>
      <c r="I2" s="19"/>
      <c r="J2" s="19"/>
      <c r="K2" s="19"/>
      <c r="L2" s="19"/>
      <c r="M2" s="19"/>
      <c r="N2" s="19"/>
      <c r="O2" s="19"/>
      <c r="P2" s="19"/>
      <c r="Q2" s="19"/>
      <c r="R2" s="19"/>
      <c r="S2" s="19"/>
      <c r="T2" s="19"/>
      <c r="U2" s="19"/>
      <c r="V2" s="19"/>
      <c r="W2" s="19"/>
    </row>
    <row r="3" spans="2:23 15055:15056" ht="15" customHeight="1">
      <c r="B3" s="19"/>
      <c r="C3" s="33"/>
      <c r="D3" s="33"/>
      <c r="E3" s="33"/>
      <c r="F3" s="33"/>
      <c r="G3" s="33"/>
      <c r="H3" s="33"/>
      <c r="I3" s="33"/>
      <c r="J3" s="33"/>
      <c r="K3" s="33"/>
      <c r="L3" s="33"/>
      <c r="M3" s="33"/>
      <c r="N3" s="33"/>
      <c r="O3" s="33"/>
      <c r="P3" s="33"/>
      <c r="Q3" s="33"/>
      <c r="R3" s="33"/>
      <c r="S3" s="33"/>
      <c r="T3" s="33"/>
      <c r="U3" s="64"/>
      <c r="V3" s="65"/>
      <c r="W3" s="19"/>
      <c r="VGA3" s="66" t="s">
        <v>73</v>
      </c>
      <c r="VGB3" s="66" t="s">
        <v>74</v>
      </c>
    </row>
    <row r="4" spans="2:23 15055:15056" ht="15" customHeight="1">
      <c r="B4" s="19"/>
      <c r="C4" s="33"/>
      <c r="D4" s="33"/>
      <c r="H4" s="280" t="s">
        <v>157</v>
      </c>
      <c r="I4" s="280"/>
      <c r="J4" s="280"/>
      <c r="K4" s="280"/>
      <c r="L4" s="280"/>
      <c r="M4" s="280"/>
      <c r="N4" s="280"/>
      <c r="O4" s="280"/>
      <c r="P4" s="280"/>
      <c r="Q4" s="280"/>
      <c r="R4" s="280"/>
      <c r="S4" s="280"/>
      <c r="T4" s="33"/>
      <c r="U4" s="33"/>
      <c r="V4" s="33"/>
      <c r="W4" s="19"/>
    </row>
    <row r="5" spans="2:23 15055:15056" ht="15" customHeight="1">
      <c r="B5" s="19"/>
      <c r="C5" s="33"/>
      <c r="D5" s="33"/>
      <c r="G5" s="90"/>
      <c r="H5" s="280"/>
      <c r="I5" s="280"/>
      <c r="J5" s="280"/>
      <c r="K5" s="280"/>
      <c r="L5" s="280"/>
      <c r="M5" s="280"/>
      <c r="N5" s="280"/>
      <c r="O5" s="280"/>
      <c r="P5" s="280"/>
      <c r="Q5" s="280"/>
      <c r="R5" s="280"/>
      <c r="S5" s="280"/>
      <c r="W5" s="19"/>
    </row>
    <row r="6" spans="2:23 15055:15056" ht="35.4" customHeight="1">
      <c r="B6" s="19"/>
      <c r="C6" s="33"/>
      <c r="D6" s="33"/>
      <c r="K6" s="67"/>
      <c r="L6" s="67"/>
      <c r="M6" s="67"/>
      <c r="N6" s="67"/>
      <c r="O6" s="67"/>
      <c r="P6" s="67"/>
      <c r="Q6" s="33"/>
      <c r="R6" s="33"/>
      <c r="S6" s="68"/>
      <c r="T6" s="33"/>
      <c r="U6" s="33"/>
      <c r="V6" s="33"/>
      <c r="W6" s="19"/>
    </row>
    <row r="7" spans="2:23 15055:15056" ht="15" customHeight="1">
      <c r="B7" s="19"/>
      <c r="C7" s="69" t="s">
        <v>156</v>
      </c>
      <c r="D7" s="33"/>
      <c r="K7" s="67"/>
      <c r="L7" s="67"/>
      <c r="M7" s="67"/>
      <c r="N7" s="67"/>
      <c r="O7" s="67"/>
      <c r="P7" s="67"/>
      <c r="Q7" s="33"/>
      <c r="R7" s="33"/>
      <c r="S7" s="68"/>
      <c r="T7" s="33"/>
      <c r="U7" s="33"/>
      <c r="V7" s="33"/>
      <c r="W7" s="19"/>
    </row>
    <row r="8" spans="2:23 15055:15056" ht="3.9" customHeight="1">
      <c r="B8" s="19"/>
      <c r="C8" s="19"/>
      <c r="D8" s="19"/>
      <c r="E8" s="19"/>
      <c r="F8" s="19"/>
      <c r="G8" s="19"/>
      <c r="H8" s="19"/>
      <c r="I8" s="19"/>
      <c r="J8" s="19"/>
      <c r="K8" s="70"/>
      <c r="L8" s="70"/>
      <c r="M8" s="70"/>
      <c r="N8" s="70"/>
      <c r="O8" s="70"/>
      <c r="P8" s="70"/>
      <c r="Q8" s="19"/>
      <c r="R8" s="19"/>
      <c r="S8" s="71"/>
      <c r="T8" s="19"/>
      <c r="U8" s="19"/>
      <c r="V8" s="19"/>
      <c r="W8" s="19"/>
    </row>
    <row r="9" spans="2:23 15055:15056" ht="45.75" customHeight="1">
      <c r="B9" s="19"/>
      <c r="G9" s="279" t="s">
        <v>1</v>
      </c>
      <c r="H9" s="279"/>
      <c r="I9" s="279"/>
      <c r="J9" s="279"/>
      <c r="K9" s="279"/>
      <c r="L9" s="279"/>
      <c r="M9" s="279"/>
      <c r="N9" s="279"/>
      <c r="O9" s="279"/>
      <c r="P9" s="279"/>
      <c r="Q9" s="279"/>
      <c r="R9" s="279"/>
      <c r="S9" s="279"/>
      <c r="W9" s="19"/>
    </row>
    <row r="10" spans="2:23 15055:15056" ht="15" customHeight="1">
      <c r="B10" s="19"/>
      <c r="C10" s="76">
        <v>1</v>
      </c>
      <c r="D10" s="72">
        <v>1</v>
      </c>
      <c r="E10" s="73" t="s">
        <v>80</v>
      </c>
      <c r="F10" s="33"/>
      <c r="G10" s="279"/>
      <c r="H10" s="279"/>
      <c r="I10" s="279"/>
      <c r="J10" s="279"/>
      <c r="K10" s="279"/>
      <c r="L10" s="279"/>
      <c r="M10" s="279"/>
      <c r="N10" s="279"/>
      <c r="O10" s="279"/>
      <c r="P10" s="279"/>
      <c r="Q10" s="279"/>
      <c r="R10" s="279"/>
      <c r="S10" s="279"/>
      <c r="T10" s="74"/>
      <c r="U10" s="74"/>
      <c r="V10" s="74"/>
      <c r="W10" s="19"/>
    </row>
    <row r="11" spans="2:23 15055:15056" ht="15" customHeight="1">
      <c r="B11" s="19"/>
      <c r="E11" s="277" t="s">
        <v>70</v>
      </c>
      <c r="F11" s="278"/>
      <c r="G11" s="278"/>
      <c r="H11" s="278"/>
      <c r="I11" s="278"/>
      <c r="W11" s="19"/>
    </row>
    <row r="12" spans="2:23 15055:15056" ht="15" customHeight="1">
      <c r="B12" s="19"/>
      <c r="W12" s="19"/>
    </row>
    <row r="13" spans="2:23 15055:15056" ht="15" customHeight="1">
      <c r="B13" s="19"/>
      <c r="C13" s="76">
        <v>2</v>
      </c>
      <c r="E13" s="73" t="s">
        <v>158</v>
      </c>
      <c r="W13" s="19"/>
    </row>
    <row r="14" spans="2:23 15055:15056" ht="15" customHeight="1">
      <c r="B14" s="19"/>
      <c r="W14" s="19"/>
    </row>
    <row r="15" spans="2:23 15055:15056" ht="15" customHeight="1">
      <c r="B15" s="19"/>
      <c r="W15" s="19"/>
    </row>
    <row r="16" spans="2:23 15055:15056" ht="15" customHeight="1">
      <c r="B16" s="19"/>
      <c r="W16" s="19"/>
    </row>
    <row r="17" spans="2:23" ht="15" customHeight="1">
      <c r="B17" s="19"/>
      <c r="W17" s="19"/>
    </row>
    <row r="18" spans="2:23" ht="15" customHeight="1">
      <c r="B18" s="19"/>
      <c r="W18" s="19"/>
    </row>
    <row r="19" spans="2:23" ht="15" customHeight="1">
      <c r="B19" s="19"/>
      <c r="W19" s="19"/>
    </row>
    <row r="20" spans="2:23" ht="15" customHeight="1">
      <c r="B20" s="19"/>
      <c r="W20" s="19"/>
    </row>
    <row r="21" spans="2:23" ht="15" customHeight="1">
      <c r="B21" s="19"/>
      <c r="W21" s="19"/>
    </row>
    <row r="22" spans="2:23" ht="15" customHeight="1">
      <c r="B22" s="19"/>
      <c r="E22" s="277" t="s">
        <v>287</v>
      </c>
      <c r="F22" s="278"/>
      <c r="G22" s="278"/>
      <c r="H22" s="278"/>
      <c r="W22" s="19"/>
    </row>
    <row r="23" spans="2:23" ht="15" customHeight="1">
      <c r="B23" s="19"/>
      <c r="E23" s="277" t="s">
        <v>0</v>
      </c>
      <c r="F23" s="278"/>
      <c r="G23" s="278"/>
      <c r="H23" s="278"/>
      <c r="W23" s="19"/>
    </row>
    <row r="24" spans="2:23" ht="15" customHeight="1">
      <c r="B24" s="19"/>
      <c r="W24" s="19"/>
    </row>
    <row r="25" spans="2:23" ht="3.75" customHeight="1">
      <c r="B25" s="19"/>
      <c r="C25" s="19"/>
      <c r="D25" s="19"/>
      <c r="E25" s="19"/>
      <c r="F25" s="19"/>
      <c r="G25" s="19"/>
      <c r="H25" s="19"/>
      <c r="I25" s="19"/>
      <c r="J25" s="19"/>
      <c r="K25" s="19"/>
      <c r="L25" s="19"/>
      <c r="M25" s="19"/>
      <c r="N25" s="19"/>
      <c r="O25" s="19"/>
      <c r="P25" s="19"/>
      <c r="Q25" s="19"/>
      <c r="R25" s="19"/>
      <c r="S25" s="19"/>
      <c r="T25" s="19"/>
      <c r="U25" s="19"/>
      <c r="V25" s="19"/>
      <c r="W25" s="19"/>
    </row>
    <row r="26" spans="2:23" ht="15" customHeight="1"/>
    <row r="31" spans="2:23" ht="14.4">
      <c r="H31" s="75"/>
    </row>
  </sheetData>
  <sheetProtection formatCells="0" formatColumns="0" formatRows="0" insertHyperlinks="0" selectLockedCells="1" autoFilter="0" selectUnlockedCells="1"/>
  <mergeCells count="5">
    <mergeCell ref="E11:I11"/>
    <mergeCell ref="E23:H23"/>
    <mergeCell ref="G9:S10"/>
    <mergeCell ref="H4:S5"/>
    <mergeCell ref="E22:H22"/>
  </mergeCells>
  <hyperlinks>
    <hyperlink ref="E11" r:id="rId1" tooltip="Enable Macros" xr:uid="{00000000-0004-0000-0500-000000000000}"/>
    <hyperlink ref="E22" r:id="rId2" tooltip="Quick Start Guide" xr:uid="{00000000-0004-0000-0500-000001000000}"/>
    <hyperlink ref="E23" r:id="rId3" tooltip="Click Here For Documentation" xr:uid="{00000000-0004-0000-0500-000002000000}"/>
  </hyperlinks>
  <pageMargins left="0.7" right="0.7" top="0.75" bottom="0.75" header="0.3" footer="0.3"/>
  <pageSetup paperSize="9" orientation="portrait" r:id="rId4"/>
  <drawing r:id="rId5"/>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GST1"/>
  <dimension ref="A1:LZ7"/>
  <sheetViews>
    <sheetView workbookViewId="0">
      <selection activeCell="G26" sqref="G26"/>
    </sheetView>
  </sheetViews>
  <sheetFormatPr defaultColWidth="9.09765625" defaultRowHeight="13.8"/>
  <cols>
    <col min="1" max="11" width="9.09765625" style="131"/>
    <col min="12" max="13" width="14.8984375" style="131" customWidth="1"/>
    <col min="14" max="14" width="12.8984375" style="131" customWidth="1"/>
    <col min="15" max="19" width="9.09765625" style="131"/>
    <col min="20" max="20" width="12.69921875" style="131" customWidth="1"/>
    <col min="21" max="27" width="9.09765625" style="131"/>
    <col min="28" max="28" width="19.69921875" style="131" customWidth="1"/>
    <col min="29" max="16384" width="9.09765625" style="131"/>
  </cols>
  <sheetData>
    <row r="1" spans="1:338">
      <c r="A1" s="11" t="s">
        <v>132</v>
      </c>
      <c r="B1" s="11" t="s">
        <v>146</v>
      </c>
      <c r="C1" s="76" t="s">
        <v>42</v>
      </c>
      <c r="D1" s="76" t="s">
        <v>62</v>
      </c>
      <c r="E1" s="76" t="s">
        <v>45</v>
      </c>
      <c r="F1" s="76" t="s">
        <v>53</v>
      </c>
      <c r="G1" s="76" t="s">
        <v>4</v>
      </c>
      <c r="H1" s="76" t="s">
        <v>6</v>
      </c>
      <c r="I1" s="76" t="s">
        <v>55</v>
      </c>
      <c r="J1" s="76" t="s">
        <v>54</v>
      </c>
      <c r="K1" s="76" t="s">
        <v>71</v>
      </c>
      <c r="L1" s="76" t="s">
        <v>148</v>
      </c>
      <c r="M1" s="76" t="s">
        <v>149</v>
      </c>
      <c r="N1" s="76" t="s">
        <v>64</v>
      </c>
      <c r="O1" s="76" t="s">
        <v>65</v>
      </c>
      <c r="P1" s="76" t="s">
        <v>51</v>
      </c>
      <c r="Q1" s="76" t="s">
        <v>50</v>
      </c>
      <c r="R1" s="76" t="s">
        <v>49</v>
      </c>
      <c r="S1" s="76" t="s">
        <v>48</v>
      </c>
      <c r="T1" s="76" t="s">
        <v>120</v>
      </c>
      <c r="U1" s="76" t="s">
        <v>121</v>
      </c>
      <c r="V1" s="76" t="s">
        <v>122</v>
      </c>
      <c r="W1" s="76" t="s">
        <v>123</v>
      </c>
      <c r="X1" s="76" t="s">
        <v>124</v>
      </c>
      <c r="Y1" s="76" t="s">
        <v>41</v>
      </c>
      <c r="Z1" s="76" t="s">
        <v>40</v>
      </c>
      <c r="AA1" s="76" t="s">
        <v>43</v>
      </c>
      <c r="AB1" s="76" t="s">
        <v>135</v>
      </c>
      <c r="AC1" s="76" t="s">
        <v>52</v>
      </c>
      <c r="AD1" s="76" t="s">
        <v>47</v>
      </c>
      <c r="AE1" s="76" t="s">
        <v>36</v>
      </c>
      <c r="AF1" s="76" t="s">
        <v>35</v>
      </c>
      <c r="AG1" s="76" t="s">
        <v>34</v>
      </c>
      <c r="AH1" s="76" t="s">
        <v>33</v>
      </c>
      <c r="AI1" s="76" t="s">
        <v>32</v>
      </c>
      <c r="AJ1" s="76" t="s">
        <v>31</v>
      </c>
      <c r="AK1" s="76" t="s">
        <v>30</v>
      </c>
      <c r="AL1" s="76" t="s">
        <v>66</v>
      </c>
      <c r="AM1" s="76" t="s">
        <v>67</v>
      </c>
      <c r="AN1" s="76" t="s">
        <v>145</v>
      </c>
      <c r="AO1" s="11" t="s">
        <v>81</v>
      </c>
      <c r="AP1" s="11" t="s">
        <v>82</v>
      </c>
      <c r="AQ1" s="11" t="s">
        <v>83</v>
      </c>
      <c r="AR1" s="11" t="s">
        <v>84</v>
      </c>
      <c r="AS1" s="11" t="s">
        <v>90</v>
      </c>
      <c r="AT1" s="11" t="s">
        <v>150</v>
      </c>
      <c r="AU1" s="11" t="s">
        <v>85</v>
      </c>
      <c r="AV1" s="11" t="s">
        <v>86</v>
      </c>
      <c r="AW1" s="11" t="s">
        <v>87</v>
      </c>
      <c r="AX1" s="11" t="s">
        <v>98</v>
      </c>
      <c r="AY1" s="11" t="s">
        <v>88</v>
      </c>
      <c r="AZ1" s="11" t="s">
        <v>89</v>
      </c>
      <c r="BA1" s="11" t="s">
        <v>116</v>
      </c>
      <c r="BB1" s="11" t="s">
        <v>151</v>
      </c>
      <c r="BC1" s="11" t="s">
        <v>91</v>
      </c>
      <c r="BD1" s="11" t="s">
        <v>92</v>
      </c>
      <c r="BE1" s="11" t="s">
        <v>93</v>
      </c>
      <c r="BF1" s="11" t="s">
        <v>125</v>
      </c>
      <c r="BG1" s="11" t="s">
        <v>126</v>
      </c>
      <c r="BH1" s="11" t="s">
        <v>94</v>
      </c>
      <c r="BI1" s="11" t="s">
        <v>114</v>
      </c>
      <c r="BJ1" s="11" t="s">
        <v>95</v>
      </c>
      <c r="BK1" s="11" t="s">
        <v>96</v>
      </c>
      <c r="BL1" s="11" t="s">
        <v>97</v>
      </c>
      <c r="BM1" s="11" t="s">
        <v>136</v>
      </c>
      <c r="BN1" s="11" t="s">
        <v>139</v>
      </c>
      <c r="BO1" s="11" t="s">
        <v>140</v>
      </c>
      <c r="BP1" s="11" t="s">
        <v>141</v>
      </c>
      <c r="BQ1" s="11" t="s">
        <v>142</v>
      </c>
      <c r="BR1" s="11" t="s">
        <v>143</v>
      </c>
      <c r="BS1" s="11" t="s">
        <v>144</v>
      </c>
      <c r="BT1" s="11" t="s">
        <v>99</v>
      </c>
      <c r="BU1" s="76" t="s">
        <v>100</v>
      </c>
      <c r="BV1" s="76" t="s">
        <v>101</v>
      </c>
      <c r="BW1" s="76" t="s">
        <v>102</v>
      </c>
      <c r="BX1" s="76" t="s">
        <v>103</v>
      </c>
      <c r="BY1" s="76" t="s">
        <v>104</v>
      </c>
      <c r="BZ1" s="76" t="s">
        <v>105</v>
      </c>
      <c r="CA1" s="76" t="s">
        <v>106</v>
      </c>
      <c r="CB1" s="76" t="s">
        <v>107</v>
      </c>
      <c r="CC1" s="76" t="s">
        <v>108</v>
      </c>
      <c r="CD1" s="76" t="s">
        <v>109</v>
      </c>
      <c r="CE1" s="76" t="s">
        <v>110</v>
      </c>
      <c r="CF1" s="76" t="s">
        <v>112</v>
      </c>
      <c r="CG1" s="76" t="s">
        <v>111</v>
      </c>
      <c r="CH1" s="76" t="s">
        <v>115</v>
      </c>
      <c r="CI1" s="76" t="s">
        <v>117</v>
      </c>
      <c r="CJ1" s="76" t="s">
        <v>118</v>
      </c>
      <c r="CK1" s="76" t="s">
        <v>119</v>
      </c>
      <c r="CL1" s="76" t="s">
        <v>109</v>
      </c>
      <c r="CM1" s="76" t="s">
        <v>110</v>
      </c>
      <c r="CN1" s="76" t="s">
        <v>112</v>
      </c>
      <c r="CO1" s="76" t="s">
        <v>111</v>
      </c>
      <c r="CP1" s="76" t="s">
        <v>115</v>
      </c>
      <c r="CQ1" s="76" t="s">
        <v>117</v>
      </c>
      <c r="CR1" s="76" t="s">
        <v>118</v>
      </c>
      <c r="CS1" s="76" t="s">
        <v>119</v>
      </c>
      <c r="CT1" s="12" t="s">
        <v>133</v>
      </c>
      <c r="CU1" s="12" t="s">
        <v>128</v>
      </c>
      <c r="CV1" s="12" t="s">
        <v>134</v>
      </c>
      <c r="CW1" s="12" t="s">
        <v>131</v>
      </c>
      <c r="CX1" s="12" t="s">
        <v>130</v>
      </c>
      <c r="CY1" s="12" t="s">
        <v>147</v>
      </c>
      <c r="CZ1" s="12" t="s">
        <v>155</v>
      </c>
      <c r="DA1" s="12" t="s">
        <v>154</v>
      </c>
      <c r="DB1" s="12" t="s">
        <v>153</v>
      </c>
      <c r="DC1" s="12" t="s">
        <v>152</v>
      </c>
      <c r="DD1" s="12" t="s">
        <v>159</v>
      </c>
      <c r="LL1"/>
      <c r="LM1"/>
      <c r="LN1"/>
      <c r="LO1"/>
      <c r="LP1"/>
      <c r="LQ1"/>
      <c r="LR1"/>
      <c r="LS1"/>
      <c r="LT1"/>
      <c r="LU1"/>
      <c r="LV1"/>
      <c r="LW1"/>
      <c r="LX1"/>
      <c r="LY1"/>
      <c r="LZ1"/>
    </row>
    <row r="2" spans="1:338">
      <c r="A2" s="76" t="s">
        <v>282</v>
      </c>
      <c r="B2" s="76">
        <v>0</v>
      </c>
      <c r="C2" s="76" t="s">
        <v>28</v>
      </c>
      <c r="D2" s="76" t="s">
        <v>63</v>
      </c>
      <c r="E2" s="76" t="b">
        <v>1</v>
      </c>
      <c r="F2" s="13" t="s">
        <v>8</v>
      </c>
      <c r="G2" s="14">
        <v>0</v>
      </c>
      <c r="H2" s="14">
        <v>0</v>
      </c>
      <c r="I2" s="13"/>
      <c r="J2" s="13">
        <v>0</v>
      </c>
      <c r="K2" s="13" t="b">
        <v>0</v>
      </c>
      <c r="L2" s="13" t="b">
        <v>1</v>
      </c>
      <c r="M2" s="13" t="b">
        <v>1</v>
      </c>
      <c r="N2" s="13" t="b">
        <v>1</v>
      </c>
      <c r="O2" s="13" t="b">
        <v>1</v>
      </c>
      <c r="P2" s="13">
        <v>1</v>
      </c>
      <c r="Q2" s="13">
        <v>1</v>
      </c>
      <c r="R2" s="13">
        <v>1</v>
      </c>
      <c r="S2" s="13">
        <v>1</v>
      </c>
      <c r="T2" s="13" t="b">
        <v>1</v>
      </c>
      <c r="U2" s="13" t="b">
        <v>1</v>
      </c>
      <c r="V2" s="13" t="b">
        <v>1</v>
      </c>
      <c r="W2" s="13" t="b">
        <v>1</v>
      </c>
      <c r="X2" s="13" t="b">
        <v>1</v>
      </c>
      <c r="Y2" s="76" t="b">
        <v>1</v>
      </c>
      <c r="Z2" s="76" t="b">
        <v>0</v>
      </c>
      <c r="AA2" s="76">
        <v>0</v>
      </c>
      <c r="AB2" s="13">
        <v>1</v>
      </c>
      <c r="AC2" s="13" t="s">
        <v>320</v>
      </c>
      <c r="AD2" s="13">
        <v>1</v>
      </c>
      <c r="AE2" s="76" t="b">
        <v>1</v>
      </c>
      <c r="AF2" s="76">
        <v>20</v>
      </c>
      <c r="AG2" s="51" t="s">
        <v>127</v>
      </c>
      <c r="AH2" s="76" t="s">
        <v>26</v>
      </c>
      <c r="AI2" s="76" t="b">
        <v>1</v>
      </c>
      <c r="AJ2" s="76" t="b">
        <v>0</v>
      </c>
      <c r="AK2" s="76" t="b">
        <v>0</v>
      </c>
      <c r="AL2" s="76" t="s">
        <v>68</v>
      </c>
      <c r="AM2" s="76" t="s">
        <v>69</v>
      </c>
      <c r="AN2" s="76"/>
      <c r="AO2" s="76" t="s">
        <v>77</v>
      </c>
      <c r="AP2" s="76" t="s">
        <v>76</v>
      </c>
      <c r="AQ2" s="16"/>
      <c r="AR2" s="78"/>
      <c r="AS2" s="17"/>
      <c r="AT2" s="17"/>
      <c r="AU2" s="18"/>
      <c r="AV2" s="19"/>
      <c r="AW2" s="20"/>
      <c r="AX2" s="21"/>
      <c r="AY2" s="77"/>
      <c r="AZ2" s="22"/>
      <c r="BA2" s="22"/>
      <c r="BB2" s="77"/>
      <c r="BC2" s="53"/>
      <c r="BD2" s="79"/>
      <c r="BE2" s="81"/>
      <c r="BF2" s="80"/>
      <c r="BG2" s="81"/>
      <c r="BH2" s="54"/>
      <c r="BI2" s="33"/>
      <c r="BJ2" s="25"/>
      <c r="BK2" s="53"/>
      <c r="BL2" s="26"/>
      <c r="BM2" s="58"/>
      <c r="BN2" s="20"/>
      <c r="BO2" s="83"/>
      <c r="BP2" s="85"/>
      <c r="BQ2" s="35"/>
      <c r="BR2" s="61"/>
      <c r="BS2" s="54"/>
      <c r="BT2" s="76">
        <v>240</v>
      </c>
      <c r="BU2" s="27">
        <v>34</v>
      </c>
      <c r="BV2" s="76">
        <v>4</v>
      </c>
      <c r="BW2" s="76">
        <v>1</v>
      </c>
      <c r="BX2" s="76">
        <v>1</v>
      </c>
      <c r="BY2" s="76">
        <v>1</v>
      </c>
      <c r="BZ2" s="76">
        <v>1</v>
      </c>
      <c r="CA2" s="76">
        <v>3</v>
      </c>
      <c r="CB2" s="76">
        <v>3</v>
      </c>
      <c r="CC2" s="76">
        <v>6</v>
      </c>
      <c r="CD2" s="76">
        <v>8</v>
      </c>
      <c r="CE2" s="76">
        <v>10</v>
      </c>
      <c r="CF2" s="76">
        <v>12</v>
      </c>
      <c r="CG2" s="76">
        <v>15</v>
      </c>
      <c r="CH2" s="76" t="b">
        <v>1</v>
      </c>
      <c r="CI2" s="13" t="b">
        <v>1</v>
      </c>
      <c r="CJ2" s="15">
        <v>44669</v>
      </c>
      <c r="CK2" s="15">
        <v>44703</v>
      </c>
      <c r="CL2" s="76">
        <v>6</v>
      </c>
      <c r="CM2" s="76">
        <v>10</v>
      </c>
      <c r="CN2" s="76">
        <v>12</v>
      </c>
      <c r="CO2" s="76">
        <v>15</v>
      </c>
      <c r="CP2" s="76" t="b">
        <v>1</v>
      </c>
      <c r="CQ2" s="13" t="b">
        <v>1</v>
      </c>
      <c r="CR2" s="15">
        <v>43617</v>
      </c>
      <c r="CS2" s="15">
        <v>43672</v>
      </c>
      <c r="CT2" s="131" t="s">
        <v>281</v>
      </c>
      <c r="CU2" s="131" t="b">
        <v>1</v>
      </c>
      <c r="CV2" s="131" t="b">
        <v>1</v>
      </c>
      <c r="CW2" s="131" t="b">
        <v>1</v>
      </c>
      <c r="CX2" s="131" t="b">
        <v>1</v>
      </c>
      <c r="CY2" s="131" t="b">
        <v>1</v>
      </c>
      <c r="CZ2" s="131">
        <v>2000</v>
      </c>
      <c r="DA2" s="131">
        <v>2050</v>
      </c>
      <c r="DB2" s="89">
        <v>36526</v>
      </c>
      <c r="DC2" s="89">
        <v>54789</v>
      </c>
      <c r="DD2" s="89">
        <v>44416</v>
      </c>
      <c r="LL2"/>
      <c r="LM2"/>
      <c r="LN2"/>
      <c r="LO2"/>
      <c r="LP2"/>
      <c r="LQ2"/>
      <c r="LR2"/>
      <c r="LS2"/>
      <c r="LT2"/>
      <c r="LU2"/>
      <c r="LV2"/>
      <c r="LW2"/>
      <c r="LX2"/>
      <c r="LY2"/>
      <c r="LZ2"/>
    </row>
    <row r="3" spans="1:338">
      <c r="A3" s="76"/>
      <c r="B3" s="76"/>
      <c r="C3" s="76"/>
      <c r="D3" s="76"/>
      <c r="E3" s="76"/>
      <c r="F3" s="76"/>
      <c r="G3" s="76"/>
      <c r="H3" s="76"/>
      <c r="I3" s="76"/>
      <c r="J3" s="76"/>
      <c r="K3" s="76"/>
      <c r="L3" s="76"/>
      <c r="M3" s="76"/>
      <c r="N3" s="76"/>
      <c r="O3" s="76"/>
      <c r="P3" s="76"/>
      <c r="Q3" s="76"/>
      <c r="R3" s="76"/>
      <c r="S3" s="76"/>
      <c r="T3" s="76"/>
      <c r="U3" s="76"/>
      <c r="V3" s="76"/>
      <c r="W3" s="76"/>
      <c r="X3" s="76"/>
      <c r="Y3" s="76"/>
      <c r="Z3" s="76"/>
      <c r="AA3" s="76"/>
      <c r="AB3" s="76"/>
      <c r="AC3" s="76"/>
      <c r="AD3" s="76"/>
      <c r="AE3" s="76"/>
      <c r="AF3" s="76"/>
      <c r="AG3" s="76"/>
      <c r="AH3" s="76"/>
      <c r="AI3" s="76"/>
      <c r="AJ3" s="76"/>
      <c r="AK3" s="76"/>
      <c r="AL3" s="76"/>
      <c r="AM3" s="76"/>
      <c r="AN3" s="76"/>
      <c r="AO3" s="76" t="s">
        <v>76</v>
      </c>
      <c r="AP3" s="76"/>
      <c r="AQ3" s="16"/>
      <c r="AR3" s="28"/>
      <c r="AS3" s="17"/>
      <c r="AT3" s="17"/>
      <c r="AU3" s="18"/>
      <c r="AV3" s="19"/>
      <c r="AW3" s="20"/>
      <c r="AX3" s="29"/>
      <c r="AY3" s="79"/>
      <c r="AZ3" s="22"/>
      <c r="BA3" s="22"/>
      <c r="BB3" s="86"/>
      <c r="BC3" s="24"/>
      <c r="BD3" s="79"/>
      <c r="BE3" s="81"/>
      <c r="BF3" s="80"/>
      <c r="BG3" s="81"/>
      <c r="BH3" s="23"/>
      <c r="BI3" s="24"/>
      <c r="BJ3" s="33"/>
      <c r="BK3" s="24"/>
      <c r="BL3" s="34"/>
      <c r="BM3" s="59"/>
      <c r="BN3" s="20"/>
      <c r="BO3" s="83"/>
      <c r="BP3" s="85"/>
      <c r="BQ3" s="35"/>
      <c r="BR3" s="61"/>
      <c r="BS3" s="54"/>
      <c r="BT3" s="76"/>
      <c r="BU3" s="76"/>
      <c r="BV3" s="76"/>
      <c r="BW3" s="76"/>
      <c r="BX3" s="76"/>
      <c r="BY3" s="76"/>
      <c r="BZ3" s="76"/>
      <c r="CA3" s="76"/>
      <c r="CB3" s="76"/>
      <c r="CC3" s="76"/>
      <c r="CD3" s="76"/>
      <c r="CE3" s="76"/>
      <c r="CF3" s="76"/>
      <c r="CG3" s="76"/>
      <c r="CH3" s="76"/>
      <c r="CI3" s="76"/>
      <c r="CJ3" s="76"/>
      <c r="CK3" s="76"/>
      <c r="CL3" s="76"/>
      <c r="CM3" s="76"/>
      <c r="CN3" s="76"/>
      <c r="CO3" s="76"/>
      <c r="CP3" s="76"/>
      <c r="CQ3" s="76"/>
      <c r="CR3" s="76"/>
      <c r="CS3" s="76"/>
    </row>
    <row r="4" spans="1:338">
      <c r="A4" s="76"/>
      <c r="B4" s="76"/>
      <c r="C4" s="76"/>
      <c r="D4" s="76"/>
      <c r="E4" s="76"/>
      <c r="F4" s="76"/>
      <c r="G4" s="76"/>
      <c r="H4" s="76"/>
      <c r="I4" s="76"/>
      <c r="J4" s="76"/>
      <c r="K4" s="76"/>
      <c r="L4" s="76"/>
      <c r="M4" s="76"/>
      <c r="N4" s="76"/>
      <c r="O4" s="76"/>
      <c r="P4" s="76"/>
      <c r="W4" s="76"/>
      <c r="X4" s="76"/>
      <c r="Y4" s="76"/>
      <c r="Z4" s="76"/>
      <c r="AA4" s="76"/>
      <c r="AB4" s="76"/>
      <c r="AC4" s="76"/>
      <c r="AD4" s="76"/>
      <c r="AE4" s="76"/>
      <c r="AF4" s="76"/>
      <c r="AG4" s="76"/>
      <c r="AH4" s="76"/>
      <c r="AI4" s="76"/>
      <c r="AJ4" s="76"/>
      <c r="AK4" s="76"/>
      <c r="AL4" s="76"/>
      <c r="AM4" s="76"/>
      <c r="AN4" s="76"/>
      <c r="AO4" s="76" t="s">
        <v>78</v>
      </c>
      <c r="AP4" s="76"/>
      <c r="AQ4" s="23"/>
      <c r="AR4" s="35"/>
      <c r="AS4" s="36"/>
      <c r="AT4" s="36"/>
      <c r="AU4" s="37"/>
      <c r="AV4" s="28"/>
      <c r="AW4" s="20"/>
      <c r="AX4" s="38"/>
      <c r="AY4" s="39"/>
      <c r="AZ4" s="84"/>
      <c r="BA4" s="84"/>
      <c r="BB4" s="36"/>
      <c r="BC4" s="23"/>
      <c r="BD4" s="79"/>
      <c r="BE4" s="81"/>
      <c r="BF4" s="80"/>
      <c r="BG4" s="81"/>
      <c r="BH4" s="32"/>
      <c r="BI4" s="40"/>
      <c r="BJ4" s="76"/>
      <c r="BK4" s="76"/>
      <c r="BL4" s="34"/>
      <c r="BM4" s="55"/>
      <c r="BN4" s="20"/>
      <c r="BO4" s="83"/>
      <c r="BP4" s="85"/>
      <c r="BQ4" s="35"/>
      <c r="BR4" s="61"/>
      <c r="BS4" s="54"/>
      <c r="BT4" s="76"/>
      <c r="BU4" s="76"/>
      <c r="BV4" s="76"/>
      <c r="BW4" s="76"/>
      <c r="BX4" s="76"/>
      <c r="BY4" s="76"/>
      <c r="BZ4" s="76"/>
      <c r="CA4" s="76"/>
      <c r="CB4" s="76"/>
      <c r="CC4" s="76"/>
      <c r="CD4" s="76"/>
      <c r="CE4" s="76"/>
      <c r="CF4" s="76"/>
      <c r="CG4" s="76"/>
      <c r="CH4" s="76"/>
      <c r="CI4" s="76"/>
      <c r="CJ4" s="76"/>
      <c r="CK4" s="76"/>
      <c r="CL4" s="76"/>
      <c r="CM4" s="76"/>
      <c r="CN4" s="76"/>
      <c r="CO4" s="76"/>
      <c r="CP4" s="76"/>
      <c r="CQ4" s="76"/>
      <c r="CR4" s="76"/>
      <c r="CS4" s="76"/>
    </row>
    <row r="5" spans="1:338">
      <c r="A5" s="76"/>
      <c r="B5" s="76"/>
      <c r="C5" s="76"/>
      <c r="D5" s="76"/>
      <c r="E5" s="76"/>
      <c r="F5" s="76"/>
      <c r="G5" s="76"/>
      <c r="H5" s="76"/>
      <c r="I5" s="76"/>
      <c r="J5" s="76"/>
      <c r="K5" s="76"/>
      <c r="L5" s="76"/>
      <c r="M5" s="76"/>
      <c r="N5" s="76"/>
      <c r="O5" s="76"/>
      <c r="P5" s="76"/>
      <c r="W5" s="76"/>
      <c r="X5" s="76"/>
      <c r="Y5" s="76"/>
      <c r="Z5" s="76"/>
      <c r="AA5" s="76"/>
      <c r="AB5" s="76"/>
      <c r="AC5" s="76"/>
      <c r="AD5" s="76"/>
      <c r="AE5" s="76"/>
      <c r="AF5" s="76"/>
      <c r="AG5" s="76"/>
      <c r="AH5" s="76"/>
      <c r="AI5" s="76"/>
      <c r="AJ5" s="76"/>
      <c r="AK5" s="76"/>
      <c r="AL5" s="76"/>
      <c r="AM5" s="76"/>
      <c r="AN5" s="76"/>
      <c r="AO5" s="76" t="s">
        <v>75</v>
      </c>
      <c r="AP5" s="76"/>
      <c r="AQ5" s="41"/>
      <c r="AR5" s="82"/>
      <c r="AS5" s="42"/>
      <c r="AT5" s="42"/>
      <c r="AU5" s="43"/>
      <c r="AV5" s="44"/>
      <c r="AW5" s="20"/>
      <c r="AX5" s="29"/>
      <c r="AY5" s="45"/>
      <c r="AZ5" s="30"/>
      <c r="BA5" s="30"/>
      <c r="BB5" s="34"/>
      <c r="BC5" s="46"/>
      <c r="BD5" s="79"/>
      <c r="BE5" s="81"/>
      <c r="BF5" s="80"/>
      <c r="BG5" s="81"/>
      <c r="BH5" s="47"/>
      <c r="BI5" s="31"/>
      <c r="BJ5" s="55"/>
      <c r="BK5" s="33"/>
      <c r="BL5" s="34"/>
      <c r="BM5" s="55"/>
      <c r="BN5" s="20"/>
      <c r="BO5" s="83"/>
      <c r="BP5" s="85"/>
      <c r="BQ5" s="35"/>
      <c r="BR5" s="61"/>
      <c r="BS5" s="54"/>
      <c r="BT5" s="76"/>
      <c r="BU5" s="76"/>
      <c r="BV5" s="76"/>
      <c r="BW5" s="76"/>
      <c r="BX5" s="76"/>
      <c r="BY5" s="76"/>
      <c r="BZ5" s="76"/>
      <c r="CA5" s="76"/>
      <c r="CB5" s="76"/>
      <c r="CC5" s="76"/>
      <c r="CD5" s="76"/>
      <c r="CE5" s="76"/>
      <c r="CF5" s="76"/>
      <c r="CG5" s="76"/>
      <c r="CH5" s="76"/>
      <c r="CI5" s="76"/>
      <c r="CJ5" s="76"/>
      <c r="CK5" s="76"/>
      <c r="CL5" s="76"/>
      <c r="CM5" s="76"/>
      <c r="CN5" s="76"/>
      <c r="CO5" s="76"/>
      <c r="CP5" s="76"/>
      <c r="CQ5" s="76"/>
      <c r="CR5" s="76"/>
      <c r="CS5" s="76"/>
    </row>
    <row r="6" spans="1:338">
      <c r="A6" s="76"/>
      <c r="B6" s="76"/>
      <c r="C6" s="76"/>
      <c r="D6" s="76"/>
      <c r="E6" s="76"/>
      <c r="F6" s="76"/>
      <c r="G6" s="76"/>
      <c r="H6" s="76"/>
      <c r="I6" s="76"/>
      <c r="J6" s="76"/>
      <c r="K6" s="76"/>
      <c r="L6" s="76"/>
      <c r="M6" s="76"/>
      <c r="N6" s="76"/>
      <c r="O6" s="76"/>
      <c r="P6" s="76"/>
      <c r="W6" s="76"/>
      <c r="X6" s="76"/>
      <c r="Y6" s="76"/>
      <c r="Z6" s="76"/>
      <c r="AA6" s="76"/>
      <c r="AB6" s="76"/>
      <c r="AC6" s="76"/>
      <c r="AD6" s="76"/>
      <c r="AE6" s="76"/>
      <c r="AF6" s="76"/>
      <c r="AG6" s="76"/>
      <c r="AH6" s="76"/>
      <c r="AI6" s="76"/>
      <c r="AJ6" s="76"/>
      <c r="AK6" s="76"/>
      <c r="AL6" s="76"/>
      <c r="AM6" s="76"/>
      <c r="AN6" s="76"/>
      <c r="AO6" s="76" t="s">
        <v>79</v>
      </c>
      <c r="AP6" s="76"/>
      <c r="AQ6" s="16"/>
      <c r="AR6" s="28"/>
      <c r="AS6" s="17"/>
      <c r="AT6" s="17"/>
      <c r="AU6" s="18"/>
      <c r="AV6" s="19"/>
      <c r="AW6" s="20"/>
      <c r="AX6" s="29"/>
      <c r="AY6" s="79"/>
      <c r="AZ6" s="22"/>
      <c r="BA6" s="22"/>
      <c r="BB6" s="86"/>
      <c r="BC6" s="24"/>
      <c r="BD6" s="79"/>
      <c r="BE6" s="81"/>
      <c r="BF6" s="80"/>
      <c r="BG6" s="81"/>
      <c r="BH6" s="23"/>
      <c r="BI6" s="24"/>
      <c r="BJ6" s="33"/>
      <c r="BK6" s="24"/>
      <c r="BL6" s="34"/>
      <c r="BM6" s="59"/>
      <c r="BN6" s="20"/>
      <c r="BO6" s="83"/>
      <c r="BP6" s="85"/>
      <c r="BQ6" s="35"/>
      <c r="BR6" s="61"/>
      <c r="BS6" s="54"/>
      <c r="BT6" s="76"/>
      <c r="BU6" s="76"/>
      <c r="BV6" s="76"/>
      <c r="BW6" s="76"/>
      <c r="BX6" s="76"/>
      <c r="BY6" s="76"/>
      <c r="BZ6" s="76"/>
      <c r="CA6" s="76"/>
      <c r="CB6" s="76"/>
      <c r="CC6" s="76"/>
      <c r="CD6" s="76"/>
      <c r="CE6" s="76"/>
      <c r="CF6" s="76"/>
      <c r="CG6" s="76"/>
      <c r="CH6" s="76"/>
      <c r="CI6" s="76"/>
      <c r="CJ6" s="76"/>
      <c r="CK6" s="76"/>
      <c r="CL6" s="76"/>
      <c r="CM6" s="76"/>
      <c r="CN6" s="76"/>
      <c r="CO6" s="76"/>
      <c r="CP6" s="76"/>
      <c r="CQ6" s="76"/>
      <c r="CR6" s="76"/>
      <c r="CS6" s="76"/>
    </row>
    <row r="7" spans="1:338">
      <c r="A7" s="76"/>
      <c r="B7" s="76"/>
      <c r="C7" s="76"/>
      <c r="D7" s="76"/>
      <c r="E7" s="76"/>
      <c r="F7" s="76"/>
      <c r="G7" s="76"/>
      <c r="H7" s="76"/>
      <c r="I7" s="76"/>
      <c r="J7" s="76"/>
      <c r="K7" s="76"/>
      <c r="L7" s="76"/>
      <c r="M7" s="76"/>
      <c r="N7" s="76"/>
      <c r="O7" s="76"/>
      <c r="P7" s="76"/>
      <c r="Q7" s="76"/>
      <c r="R7" s="76"/>
      <c r="S7" s="76"/>
      <c r="T7" s="76"/>
      <c r="U7" s="76"/>
      <c r="V7" s="76"/>
      <c r="W7" s="76"/>
      <c r="X7" s="76"/>
      <c r="Y7" s="76"/>
      <c r="Z7" s="76"/>
      <c r="AA7" s="76"/>
      <c r="AB7" s="76"/>
      <c r="AC7" s="76"/>
      <c r="AD7" s="76"/>
      <c r="AE7" s="76"/>
      <c r="AF7" s="76"/>
      <c r="AG7" s="76"/>
      <c r="AH7" s="76"/>
      <c r="AI7" s="76"/>
      <c r="AJ7" s="76"/>
      <c r="AK7" s="76"/>
      <c r="AL7" s="76"/>
      <c r="AM7" s="76"/>
      <c r="AN7" s="76"/>
      <c r="AO7" s="76"/>
      <c r="AP7" s="76"/>
      <c r="AQ7" s="16"/>
      <c r="AR7" s="28"/>
      <c r="AS7" s="17"/>
      <c r="AT7" s="17"/>
      <c r="AU7" s="18"/>
      <c r="AV7" s="19"/>
      <c r="AW7" s="20"/>
      <c r="AX7" s="29"/>
      <c r="AY7" s="79"/>
      <c r="AZ7" s="22"/>
      <c r="BA7" s="22"/>
      <c r="BB7" s="86"/>
      <c r="BC7" s="24"/>
      <c r="BD7" s="79"/>
      <c r="BE7" s="81"/>
      <c r="BF7" s="80"/>
      <c r="BG7" s="81"/>
      <c r="BH7" s="23"/>
      <c r="BI7" s="24"/>
      <c r="BJ7" s="33"/>
      <c r="BK7" s="24"/>
      <c r="BL7" s="34"/>
      <c r="BM7" s="59"/>
      <c r="BN7" s="20"/>
      <c r="BO7" s="83"/>
      <c r="BP7" s="85"/>
      <c r="BQ7" s="35"/>
      <c r="BR7" s="61"/>
      <c r="BS7" s="54"/>
      <c r="BT7" s="76"/>
      <c r="BU7" s="76"/>
      <c r="BV7" s="76"/>
      <c r="BW7" s="76"/>
      <c r="BX7" s="76"/>
      <c r="BY7" s="76"/>
      <c r="BZ7" s="76"/>
      <c r="CA7" s="76"/>
      <c r="CB7" s="76"/>
      <c r="CC7" s="76"/>
      <c r="CD7" s="76"/>
      <c r="CE7" s="76"/>
      <c r="CF7" s="76"/>
      <c r="CG7" s="76"/>
      <c r="CH7" s="76"/>
      <c r="CI7" s="76"/>
      <c r="CJ7" s="76"/>
      <c r="CK7" s="76"/>
      <c r="CL7" s="76"/>
      <c r="CM7" s="76"/>
      <c r="CN7" s="76"/>
      <c r="CO7" s="76"/>
      <c r="CP7" s="76"/>
      <c r="CQ7" s="76"/>
      <c r="CR7" s="76"/>
      <c r="CS7" s="76"/>
    </row>
  </sheetData>
  <sheetProtection formatCells="0" formatColumns="0" formatRows="0" insertHyperlinks="0" autoFilter="0"/>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T4"/>
  <sheetViews>
    <sheetView workbookViewId="0"/>
  </sheetViews>
  <sheetFormatPr defaultRowHeight="13.8"/>
  <sheetData>
    <row r="1" spans="1:20">
      <c r="A1" t="s">
        <v>225</v>
      </c>
      <c r="B1" t="s">
        <v>248</v>
      </c>
      <c r="C1" t="s">
        <v>249</v>
      </c>
      <c r="D1" t="s">
        <v>250</v>
      </c>
      <c r="K1" t="s">
        <v>251</v>
      </c>
      <c r="L1" t="s">
        <v>252</v>
      </c>
      <c r="M1" t="s">
        <v>253</v>
      </c>
      <c r="N1" t="s">
        <v>254</v>
      </c>
      <c r="O1" t="s">
        <v>255</v>
      </c>
      <c r="P1" t="s">
        <v>256</v>
      </c>
      <c r="Q1" t="s">
        <v>257</v>
      </c>
      <c r="R1" t="s">
        <v>258</v>
      </c>
      <c r="S1" t="s">
        <v>259</v>
      </c>
      <c r="T1" t="s">
        <v>260</v>
      </c>
    </row>
    <row r="2" spans="1:20">
      <c r="A2" t="s">
        <v>261</v>
      </c>
      <c r="C2" t="b">
        <v>0</v>
      </c>
      <c r="E2" s="132" t="s">
        <v>262</v>
      </c>
      <c r="K2" s="133">
        <v>0.375</v>
      </c>
      <c r="L2" s="133">
        <v>0.75</v>
      </c>
      <c r="M2">
        <v>0</v>
      </c>
      <c r="N2">
        <v>1</v>
      </c>
      <c r="O2">
        <v>1</v>
      </c>
      <c r="P2">
        <v>1</v>
      </c>
      <c r="Q2">
        <v>1</v>
      </c>
      <c r="R2">
        <v>1</v>
      </c>
      <c r="S2">
        <v>0</v>
      </c>
    </row>
    <row r="3" spans="1:20">
      <c r="A3" t="s">
        <v>318</v>
      </c>
      <c r="B3">
        <v>0</v>
      </c>
      <c r="C3" t="b">
        <v>1</v>
      </c>
      <c r="K3" s="133">
        <v>0.375</v>
      </c>
      <c r="L3" s="133">
        <v>0.75</v>
      </c>
      <c r="M3">
        <v>0</v>
      </c>
      <c r="N3">
        <v>1</v>
      </c>
      <c r="O3">
        <v>1</v>
      </c>
      <c r="P3">
        <v>1</v>
      </c>
      <c r="Q3">
        <v>1</v>
      </c>
      <c r="R3">
        <v>1</v>
      </c>
      <c r="S3">
        <v>0</v>
      </c>
    </row>
    <row r="4" spans="1:20">
      <c r="A4" t="s">
        <v>319</v>
      </c>
      <c r="B4">
        <v>0</v>
      </c>
      <c r="C4" t="b">
        <v>1</v>
      </c>
      <c r="K4" s="133">
        <v>0.375</v>
      </c>
      <c r="L4" s="133">
        <v>0.75</v>
      </c>
      <c r="M4">
        <v>0</v>
      </c>
      <c r="N4">
        <v>1</v>
      </c>
      <c r="O4">
        <v>1</v>
      </c>
      <c r="P4">
        <v>1</v>
      </c>
      <c r="Q4">
        <v>1</v>
      </c>
      <c r="R4">
        <v>1</v>
      </c>
      <c r="S4">
        <v>0</v>
      </c>
    </row>
  </sheetData>
  <pageMargins left="0.7" right="0.7" top="0.75" bottom="0.75" header="0.3" footer="0.3"/>
</worksheet>
</file>

<file path=customUI/_rels/customUI.xml.rels><?xml version="1.0" encoding="UTF-8" standalone="yes"?>
<Relationships xmlns="http://schemas.openxmlformats.org/package/2006/relationships"><Relationship Id="addtaskbelowselection.png" Type="http://schemas.openxmlformats.org/officeDocument/2006/relationships/image" Target="images/addtaskbelowselection.png"/><Relationship Id="Upgrade64.png" Type="http://schemas.openxmlformats.org/officeDocument/2006/relationships/image" Target="images/Upgrade64.png"/><Relationship Id="ExportToPDF.png" Type="http://schemas.openxmlformats.org/officeDocument/2006/relationships/image" Target="images/ExportToPDF.png"/><Relationship Id="Settings64.png" Type="http://schemas.openxmlformats.org/officeDocument/2006/relationships/image" Target="images/Settings64.png"/><Relationship Id="addtaskatselection.png" Type="http://schemas.openxmlformats.org/officeDocument/2006/relationships/image" Target="images/addtaskatselection.png"/><Relationship Id="duplicate64.png" Type="http://schemas.openxmlformats.org/officeDocument/2006/relationships/image" Target="images/duplicate64.png"/><Relationship Id="Resources64.png" Type="http://schemas.openxmlformats.org/officeDocument/2006/relationships/image" Target="images/Resources64.png"/><Relationship Id="moveupblue16.png" Type="http://schemas.openxmlformats.org/officeDocument/2006/relationships/image" Target="images/moveupblue16.png"/><Relationship Id="ScrolltoEnd.png" Type="http://schemas.openxmlformats.org/officeDocument/2006/relationships/image" Target="images/ScrolltoEnd.png"/><Relationship Id="YearlyView.png" Type="http://schemas.openxmlformats.org/officeDocument/2006/relationships/image" Target="images/YearlyView.png"/><Relationship Id="DailyView.png" Type="http://schemas.openxmlformats.org/officeDocument/2006/relationships/image" Target="images/DailyView.png"/><Relationship Id="SetupTimeline.png" Type="http://schemas.openxmlformats.org/officeDocument/2006/relationships/image" Target="images/SetupTimeline.png"/><Relationship Id="AddTask.png" Type="http://schemas.openxmlformats.org/officeDocument/2006/relationships/image" Target="images/AddTask64.png"/><Relationship Id="HalfYearlyView.png" Type="http://schemas.openxmlformats.org/officeDocument/2006/relationships/image" Target="images/HalfYearlyView.png"/><Relationship Id="editproject.png" Type="http://schemas.openxmlformats.org/officeDocument/2006/relationships/image" Target="images/editproject.png"/><Relationship Id="AddSection64.png" Type="http://schemas.openxmlformats.org/officeDocument/2006/relationships/image" Target="images/AddSection64.png"/><Relationship Id="makeparent16.png" Type="http://schemas.openxmlformats.org/officeDocument/2006/relationships/image" Target="images/makeparent16.png"/><Relationship Id="ExportToXLSX.png" Type="http://schemas.openxmlformats.org/officeDocument/2006/relationships/image" Target="images/ExportToXLSX.png"/><Relationship Id="DailyView64.png" Type="http://schemas.openxmlformats.org/officeDocument/2006/relationships/image" Target="images/daily64.png"/><Relationship Id="QuarterlyView.png" Type="http://schemas.openxmlformats.org/officeDocument/2006/relationships/image" Target="images/QuarterlyView.png"/><Relationship Id="MonthlyView.png" Type="http://schemas.openxmlformats.org/officeDocument/2006/relationships/image" Target="images/MonthlyView.png"/><Relationship Id="HourlyView.png" Type="http://schemas.openxmlformats.org/officeDocument/2006/relationships/image" Target="images/HourlyView.png"/><Relationship Id="movedownblue16.png" Type="http://schemas.openxmlformats.org/officeDocument/2006/relationships/image" Target="images/movedownblue16.png"/><Relationship Id="About64.png" Type="http://schemas.openxmlformats.org/officeDocument/2006/relationships/image" Target="images/About64.png"/><Relationship Id="dash64.png" Type="http://schemas.openxmlformats.org/officeDocument/2006/relationships/image" Target="images/dash64.png"/><Relationship Id="AddMilestone.png" Type="http://schemas.openxmlformats.org/officeDocument/2006/relationships/image" Target="images/AddMilestone.png"/><Relationship Id="WeeklyView.png" Type="http://schemas.openxmlformats.org/officeDocument/2006/relationships/image" Target="images/WeeklyView.png"/><Relationship Id="deleteTask64.png" Type="http://schemas.openxmlformats.org/officeDocument/2006/relationships/image" Target="images/deleteTask64.png"/><Relationship Id="makechild16.png" Type="http://schemas.openxmlformats.org/officeDocument/2006/relationships/image" Target="images/makechild16.png"/><Relationship Id="ScrolltoStart.png" Type="http://schemas.openxmlformats.org/officeDocument/2006/relationships/image" Target="images/ScrolltoStart.png"/><Relationship Id="ScrolltoToday.png" Type="http://schemas.openxmlformats.org/officeDocument/2006/relationships/image" Target="images/ScrolltoToday.png"/><Relationship Id="moreviews.png" Type="http://schemas.openxmlformats.org/officeDocument/2006/relationships/image" Target="images/moreviews.png"/><Relationship Id="EditTask64.png" Type="http://schemas.openxmlformats.org/officeDocument/2006/relationships/image" Target="images/EditTask64.png"/><Relationship Id="AddGanttChart64.png" Type="http://schemas.openxmlformats.org/officeDocument/2006/relationships/image" Target="images/AddGanttChart64.png"/></Relationships>
</file>

<file path=customUI/customUI.xml><?xml version="1.0" encoding="utf-8"?>
<customUI xmlns="http://schemas.microsoft.com/office/2006/01/customui" onLoad="OnRibbonLoad">
  <ribbon startFromScratch="false">
    <tabs>
      <tab idMso="TabHome">
        <group idMso="GroupEditingExcel" visible="false"> 
				</group>
        <group idMso="GroupCells" visible="false"> 
				</group>
      </tab>
      <tab idMso="TabData">
        <group idMso="GroupSortFilter" visible="false"> 
				</group>
      </tab>
      <tab idMso="TabReview" visible="false">   
</tab>
      <tab id="tabGantt" insertBeforeMso="TabHome" label="GANTT" keytip="G">
        <group id="grpGanttCharts" label="Gantt Charts" getVisible="GetVisible">
          <button id="btnAddGanttChart" label="Add New Gantt Chart" size="large" onAction="OnActionButton" image="AddGanttChart64.png" getEnabled="GetEnabled" keytip="C" screentip="Add New Gantt Chart Worksheet"/>
          <button id="btnEditGanttChart" label="Edit Project" size="normal" onAction="btnEditGanttChart" image="editproject.png" getEnabled="GetEnabled" keytip="P" screentip="Edit Project Details"/>
          <button id="btnDashboard" label="Dashboard" size="normal" onAction="btnDashboardRib" image="dash64.png" keytip="B" getEnabled="GetEnabled" screentip="Generate Project Dashboard"/>
        </group>
        <group id="grpCreateEditDelete" label="Tasks" getVisible="GetVisible">
          <button id="btnAddTaskAtSelection" label="Add Task" size="large" onAction="AddTaskAtSelection" image="AddTask.png" keytip="A" getEnabled="GetEnabled" screentip="Add Task"/>
          <button id="btnSetMilestone" label="Add Milestone" size="large" onAction="AddMilestone" getEnabled="GetEnabled" image="AddMilestone.png" keytip="M" screentip="Add Milestone"/>
          <button id="btnEdit" label="Edit" size="normal" onAction="EditTask" getEnabled="GetEnabled" image="EditTask64.png" screentip="Edit task" keytip="E"/>
          <button id="btnDuplicate" label="Duplicate" screentip="Duplicate task" image="duplicate64.png" onAction="DuplicateTaskRib" size="normal" getEnabled="GetEnabled" keytip="D"/>
          <button id="btnDelete" label="Delete" screentip="Delete task" image="deleteTask64.png" onAction="DeleteTask" size="normal" getEnabled="GetEnabled" keytip="X"/>
          <separator id="sepIndent"/>
          <button id="btnParent" label="Make Parent" size="normal" screentip="Set as Parent Task" supertip="Alt + Left Arrow" image="makeparent16.png" onAction="tIndentLeft" keytip="TP" getEnabled="GetEnabled"/>
          <button id="btnChild" label="Make Child" size="normal" screentip="Set as Child Task" supertip="Alt + Right Arrow" image="makechild16.png" onAction="tIndentRight" keytip="TC" getEnabled="GetEnabled"/>
          <separator id="sep199"/>
          <button id="btnMoveUp" label="Move Up" size="normal" screentip="Move task up" supertip="Alt + Up Arrow" image="moveupblue16.png" onAction="MoveUpAboveRib" keytip="TU" getEnabled="GetEnabled"/>
          <button id="btnMoveDown" label="Move Down" size="normal" screentip="Move task down" supertip="Alt + Down Arrow" image="movedownblue16.png" onAction="MoveDownBelowRib" keytip="TD" getEnabled="GetEnabled"/>
        </group>
        <group id="grpDisplay6" label=" " getVisible="GetVisible">
          <button id="btnHourly" onAction="HourlyViewRib" label="Hourly View" image="HourlyView.png" screentip="Hourly View" size="large" getVisible="GetVisiblev" getEnabled="GetEnabled" keytip="VH"/>
        </group>
        <group id="grpDisplay1" label="Timeline" getVisible="GetVisible">
          <button id="btnDaily" label="Daily View" onAction="DailyViewRib" getEnabled="GetEnabled" image="DailyView64.png" screentip="Daily View" size="large" keytip="VD"/>
          <menu id="mnuMoreViews" label="More Views" image="moreviews.png" size="large" itemSize="large" screentip="More Views" keytip="VE">
            <button id="btnWeekly" label="Weekly View" onAction="WeeklyViewRib" getEnabled="GetEnabled" image="WeeklyView.png" screentip="Weekly View" keytip="VW"/>
            <button id="btnMonthly" label="Monthly View" onAction="MonthlyViewRib" getEnabled="GetEnabled" image="MonthlyView.png" screentip="Monthly View" keytip="VM"/>
            <button id="btnQuarterlyView" label="&amp;Quarterly View" onAction="OnActionButton" image="QuarterlyView.png" getEnabled="GetEnabled" screentip="Quarterly View"/>
            <button id="btnHalfYearlyView" label="&amp;Half Yearly View" onAction="OnActionButton" image="HalfYearlyView.png" getEnabled="GetEnabled" screentip="Half Yearly View"/>
            <button id="btnYearlyView" label="&amp;Yearly View" onAction="OnActionButton" image="YearlyView.png" getEnabled="GetEnabled" screentip="Yearly View"/>
          </menu>
          <separator id="timelinesep1"/>
          <button id="btnSetupTimeline" label="Setup Timeline" onAction="SetupTimelineRib" getEnabled="GetEnabled" image="SetupTimeline.png" screentip="Setup Timeline Dates" size="normal"/>
          <checkBox id="ShowTimeline" label="Show Timeline" onAction="OnActionCheckbox" getPressed="GetPressedCheckbox" getEnabled="GetEnabled"/>
          <checkBox id="RefreshTimeline" label="Refresh Timeline" onAction="OnActionCheckbox" getPressed="GetPressedCheckbox" getEnabled="GetEnabled"/>
          <button id="btnGotoStart" label="Scroll to Start" onAction="GotoStartRib" getEnabled="GetEnabled" image="ScrolltoStart.png" screentip="Scroll to start of project" keytip="SS" size="normal"/>
          <button id="btnGotoToday" label="Scroll to Today" onAction="GotoTodayRib" getEnabled="GetEnabled" image="ScrolltoToday.png" screentip="Scroll to today" keytip="ST" size="normal"/>
          <button id="btnGotoEnd" label="Scroll to End" onAction="GotoEndRib" getEnabled="GetEnabled" image="ScrolltoEnd.png" keytip="SE" screentip="Scroll to end of project" size="normal"/>
        </group>
        <group id="grpDisplay5" label="Filters" getVisible="GetVisible">
          <checkBox id="chkShowCompleted" label="Show Completed" onAction="OnActionCheckbox" getPressed="GetPressedCheckbox" getEnabled="GetEnabled"/>
          <checkBox id="chkShowInProgress" label="Show In Progress" onAction="OnActionCheckbox" getPressed="GetPressedCheckbox" getEnabled="GetEnabled"/>
          <checkBox id="chkShowPlanned" label="Show Planned" onAction="OnActionCheckbox" getPressed="GetPressedCheckbox" getEnabled="GetEnabled"/>
        </group>
        <group id="grpDisplay3" label="Groups" getVisible="GetVisible">
          <checkBox id="chkEnableGrouping" label="Enable Grouping" onAction="OnActionCheckbox" getPressed="GetPressedCheckbox" getEnabled="GetEnabled"/>
          <button id="btnExpandAllGroups" label="Expand Groups" size="normal" screentip="Expand task group" imageMso="OutlineShowDetail" onAction="OutlineShowDetailRib" getEnabled="GetEnabled"/>
          <button id="btnCollapseAllGroups" label="Collapse Groups" size="normal" screentip="Collapse group" imageMso="OutlineHideDetail" onAction="OutlineHideDetailRib" getEnabled="GetEnabled"/>
        </group>
        <group id="grpDisplay" label="Height/Width" getVisible="GetVisible">
          <button id="btnSetRowHeight" label="Row Height" size="normal" screentip="Sets row height for all tasks" imageMso="RowHeight" onAction="SetRowHeightRib" getEnabled="GetEnabled"/>
          <button id="btnSetColumnWidth" label="Column Width" size="normal" screentip="Sets row height for selected column" imageMso="ColumnWidth" onAction="SetColumnWidthRib" getEnabled="GetEnabled"/>
          <button idMso="ColumnWidthAutoFit" size="normal" imageMso="ColumnWidth" label="Auto Col Width" onAction="OnActionButton" getEnabled="GetEnabled"/>
        </group>
        <group id="Upgrade" label=" " getVisible="GetVisible">
          <button id="btnUpgrade" size="large" getLabel="getlabelF" image="Upgrade64.png" onAction="UpgradeLicense" getVisible="GetVisible" getEnabled="GetEnabled"/>
        </group>
        <group id="grpSettings1" label="Settings" getVisible="GetVisible">
          <button id="btnResources" size="large" label="Resources" image="Resources64.png" onAction="ShowResources" getEnabled="GetEnabled" keytip="R"/>
          <button id="btnSettings" size="large" label="Settings" image="Settings64.png" onAction="ShowSettings" keytip="N" getEnabled="GetEnabled"/>
          <button id="btnExportToPDF" size="large" label="Export to PDF" image="ExportToPDF.png" onAction="ExportToPDF" getEnabled="GetEnabled"/>
          <button id="btnExportToXLSX" size="large" label="Export to XLSX" image="ExportToXLSX.png" onAction="ExportToXLSX" getEnabled="GetEnabled"/>
        </group>
        <group id="grpAboutGanttExcel" label="Gantt Excel">
          <button id="btnAbout" label="About" screentip="About Gantt Excel" image="About64.png" keytip="O" onAction="AboutPopUpRib" size="large"/>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2</vt:i4>
      </vt:variant>
    </vt:vector>
  </HeadingPairs>
  <TitlesOfParts>
    <vt:vector size="4" baseType="lpstr">
      <vt:lpstr>Project Plan</vt:lpstr>
      <vt:lpstr>Help</vt:lpstr>
      <vt:lpstr>GanttDashboardTemplate!Print_Area</vt:lpstr>
      <vt:lpstr>GanttDashboardTemplate!Print_Titles</vt:lpstr>
    </vt:vector>
  </TitlesOfParts>
  <Company>GanttExcel.Com</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Gantt Excel Template</dc:title>
  <dc:creator>ganttexcel.com</dc:creator>
  <cp:keywords>Project Timeline</cp:keywords>
  <cp:lastModifiedBy>hoang duc</cp:lastModifiedBy>
  <cp:revision>0</cp:revision>
  <cp:lastPrinted>2021-08-08T06:33:54Z</cp:lastPrinted>
  <dcterms:created xsi:type="dcterms:W3CDTF">2016-09-10T13:03:48Z</dcterms:created>
  <dcterms:modified xsi:type="dcterms:W3CDTF">2022-05-12T01:50:45Z</dcterms:modified>
  <cp:category>Excel Template</cp:category>
  <cp:version>3.0</cp:version>
</cp:coreProperties>
</file>